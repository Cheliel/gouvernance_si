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Tool Guidance" sheetId="1" r:id="rId3"/>
    <sheet state="visible" name="Dashboard" sheetId="2" r:id="rId4"/>
    <sheet state="visible" name="Compliance per section" sheetId="3" r:id="rId5"/>
    <sheet state="visible" name="Compliance per control" sheetId="4" r:id="rId6"/>
    <sheet state="visible" name="Compliance Checklist" sheetId="5" r:id="rId7"/>
    <sheet state="visible" name="Data" sheetId="6" r:id="rId8"/>
  </sheets>
  <definedNames/>
  <calcPr/>
</workbook>
</file>

<file path=xl/sharedStrings.xml><?xml version="1.0" encoding="utf-8"?>
<sst xmlns="http://schemas.openxmlformats.org/spreadsheetml/2006/main" count="697" uniqueCount="477">
  <si>
    <t>Aperçu de l’outil ESDacademy « audit fonctionnel »</t>
  </si>
  <si>
    <r>
      <rPr>
        <rFont val="Helvetica"/>
        <b/>
        <color rgb="FF000000"/>
        <sz val="18.0"/>
      </rPr>
      <t>Conformité par section</t>
    </r>
  </si>
  <si>
    <t>Standard</t>
  </si>
  <si>
    <t>Section</t>
  </si>
  <si>
    <t>Status</t>
  </si>
  <si>
    <t>A.5</t>
  </si>
  <si>
    <t>Politiques de sécurité de l’information</t>
  </si>
  <si>
    <t xml:space="preserve">Cette outils a pour but de qualifier son SMSI (Système de management en sécurité de l’information) à l’aide de la valorisation des différents contrôles demandés par les exigences de la norme 27001. </t>
  </si>
  <si>
    <t>A.6</t>
  </si>
  <si>
    <t>Organisation de la sécurité de l’information</t>
  </si>
  <si>
    <t>A.7</t>
  </si>
  <si>
    <t>Instruction d’utilisation</t>
  </si>
  <si>
    <t>La sécurité des ressources humaines</t>
  </si>
  <si>
    <t>A.8</t>
  </si>
  <si>
    <t>Gestion des actifs</t>
  </si>
  <si>
    <t>Pre-évaluation</t>
  </si>
  <si>
    <t>A.9</t>
  </si>
  <si>
    <t>Contrôle d’accès</t>
  </si>
  <si>
    <t>A.10</t>
  </si>
  <si>
    <t>Cryptographie</t>
  </si>
  <si>
    <t>1. Déterminer le périmètre d’évaluation</t>
  </si>
  <si>
    <t>A.11</t>
  </si>
  <si>
    <t>Sécurité physique et environnementale</t>
  </si>
  <si>
    <t>Travailler avec les acteurs concernés pour déterminer quelle est la portée appropriée de l'évaluation.</t>
  </si>
  <si>
    <t>2. Collecter les preuves</t>
  </si>
  <si>
    <t>Identifiez et centralisez autant de preuves que possible. Cela peut inclure des documents stratégiques, des documents de processus, des relevés de notes d'entrevue, etc.</t>
  </si>
  <si>
    <t>3. Préparer l’outil</t>
  </si>
  <si>
    <t>Utiliser le périmètre d’évaluation permet d’identifier ce qu’il ne pourrait pas être convenable dans le questionnaire.
En outre, lorsque les questions d'audit suggérées ne sont pas pertinentes, elles peuvent être remplacées par celles qui conviennent.</t>
  </si>
  <si>
    <t>Évaluation</t>
  </si>
  <si>
    <t>A.12</t>
  </si>
  <si>
    <t>Sécurité liée à l’exploitation</t>
  </si>
  <si>
    <t>4. Examiner les zones de contrôle</t>
  </si>
  <si>
    <t>Examiner les preuves pour chaque contrôle et déterminer la conformité avec les exigences.
Cette outil permet de faire cela avec des incréments de 5%.</t>
  </si>
  <si>
    <t>A.13</t>
  </si>
  <si>
    <t>Sécurité des communications</t>
  </si>
  <si>
    <t>5. Déterminer le niveau de conformité</t>
  </si>
  <si>
    <t>À la fin de l’évaluation, l’outil vous fournira un niveau global de conformité par zone de contrôle et par des contrôles individuels.</t>
  </si>
  <si>
    <t>Post évaluation</t>
  </si>
  <si>
    <t>6. Enregistrement des zones faibles</t>
  </si>
  <si>
    <t>Enregistrer les zones, contrôles non convenable (normalement moins que 90%)</t>
  </si>
  <si>
    <t>A.14</t>
  </si>
  <si>
    <t>Acquisition, développement et maintenance des systèmes d’information</t>
  </si>
  <si>
    <t>7. Créer un plan d’amélioration</t>
  </si>
  <si>
    <t>Pour chaque zone de faiblesse, travailler avec les personnes concernés par la zone pour déterminer comment le contrôle peut être amélioré.</t>
  </si>
  <si>
    <t>8. Prévoir une ré-évaluation</t>
  </si>
  <si>
    <t>Organisez une date pour examiner les zones faibles pour définir une cible pour les plans d'amélioration.</t>
  </si>
  <si>
    <t>Cycle de vie de la revue</t>
  </si>
  <si>
    <t>A.15</t>
  </si>
  <si>
    <t>Relations avec les fournisseurs</t>
  </si>
  <si>
    <t>9. Prévoir le revue du SMSI</t>
  </si>
  <si>
    <t>Assurez-vous que le SMSI est réévalué régulièrement, idéalement tous les 12 mois.</t>
  </si>
  <si>
    <t>A.16</t>
  </si>
  <si>
    <t>Gestion des incidents liés à la sécurité de l’information</t>
  </si>
  <si>
    <t>A.17</t>
  </si>
  <si>
    <t>Aspects de la sécurité de l’information dans la gestion de la continuité de l’activité</t>
  </si>
  <si>
    <t>A.18</t>
  </si>
  <si>
    <t>Conformité</t>
  </si>
  <si>
    <t>Conformité globale</t>
  </si>
  <si>
    <t>Audit fonctionnel (ISO27001:2013 SCORE)</t>
  </si>
  <si>
    <r>
      <rPr>
        <rFont val="Helvetica"/>
        <b/>
        <color rgb="FF000000"/>
        <sz val="18.0"/>
      </rPr>
      <t>Conformité par contrôle</t>
    </r>
  </si>
  <si>
    <t>A.5.1</t>
  </si>
  <si>
    <t>Orientations de la direction en matière de sécurité de l’information</t>
  </si>
  <si>
    <t>A.6.1</t>
  </si>
  <si>
    <t>Organisation interne</t>
  </si>
  <si>
    <t>A.6.2</t>
  </si>
  <si>
    <t>Appareils mobiles et télétravail</t>
  </si>
  <si>
    <t>A.7.1</t>
  </si>
  <si>
    <t>Avant l’embauche</t>
  </si>
  <si>
    <t>A.7.2</t>
  </si>
  <si>
    <t>Pendant la durée du contrat</t>
  </si>
  <si>
    <t>A.7.3</t>
  </si>
  <si>
    <t>Rupture, terme ou modification du contrat de travail</t>
  </si>
  <si>
    <t>A.8.1</t>
  </si>
  <si>
    <t>Responsabilités relatives aux actifs</t>
  </si>
  <si>
    <t>A.8.2</t>
  </si>
  <si>
    <t>Classification de l’information</t>
  </si>
  <si>
    <t>A.8.3</t>
  </si>
  <si>
    <t>Manipulation des supports</t>
  </si>
  <si>
    <t>A.9.1</t>
  </si>
  <si>
    <t>Exigences métier en matière de contrôle d’accès</t>
  </si>
  <si>
    <t>A.9.2</t>
  </si>
  <si>
    <t>Gestion de l’accès utilisateur</t>
  </si>
  <si>
    <t>A.9.3</t>
  </si>
  <si>
    <t>Responsabilités des utilisateurs</t>
  </si>
  <si>
    <t>A.9.4</t>
  </si>
  <si>
    <t>Contrôle de l’accès au système et aux applications</t>
  </si>
  <si>
    <t>A.10.1</t>
  </si>
  <si>
    <t>Mesures cryptographiques</t>
  </si>
  <si>
    <t>A.11.1</t>
  </si>
  <si>
    <t>Zones sécurisées</t>
  </si>
  <si>
    <t>A.11.2</t>
  </si>
  <si>
    <t>Matériels</t>
  </si>
  <si>
    <t>A.12.1</t>
  </si>
  <si>
    <t>Procédures et responsabilités liées à l’exploitation</t>
  </si>
  <si>
    <t>A.12.2</t>
  </si>
  <si>
    <t>Protection contre les logiciels malveillants</t>
  </si>
  <si>
    <t>A.12.3</t>
  </si>
  <si>
    <t>Sauvegarde</t>
  </si>
  <si>
    <t>A.12.4</t>
  </si>
  <si>
    <t>Journalisation et surveillance</t>
  </si>
  <si>
    <t>A.12.5</t>
  </si>
  <si>
    <t>Maîtrise des logiciels en exploitation</t>
  </si>
  <si>
    <t>A.12.6</t>
  </si>
  <si>
    <t>Gestion des vulnérabilités techniques</t>
  </si>
  <si>
    <t>A.12.7</t>
  </si>
  <si>
    <t>Considérations sur l’audit du système d’information</t>
  </si>
  <si>
    <t>A.13.1</t>
  </si>
  <si>
    <t>Management de la sécurité des réseaux</t>
  </si>
  <si>
    <t>A.13.2</t>
  </si>
  <si>
    <t>Transfert de l’information</t>
  </si>
  <si>
    <t>A.14.1</t>
  </si>
  <si>
    <t>Exigences de sécurité applicables aux systèmes d’information</t>
  </si>
  <si>
    <t>A.14.2</t>
  </si>
  <si>
    <t>Sécurité des processus de développement et d’assistance technique</t>
  </si>
  <si>
    <t>A.14.3</t>
  </si>
  <si>
    <t>Données de test</t>
  </si>
  <si>
    <t>A.15.1</t>
  </si>
  <si>
    <t>Sécurité de l’information dans les relations avec les fournisseurs</t>
  </si>
  <si>
    <t>A.15.2</t>
  </si>
  <si>
    <t>Gestion de la prestation du service</t>
  </si>
  <si>
    <t>A.16.1</t>
  </si>
  <si>
    <t>Gestion des incidents liés à la sécurité de l’information et améliorations</t>
  </si>
  <si>
    <t>A.17.1</t>
  </si>
  <si>
    <t>Continuité de la sécurité de l’information</t>
  </si>
  <si>
    <t>A.17.2</t>
  </si>
  <si>
    <t>Redondances</t>
  </si>
  <si>
    <t>A.18.1</t>
  </si>
  <si>
    <t>Conformité aux obligations légales et réglementaires</t>
  </si>
  <si>
    <t>A.18.2</t>
  </si>
  <si>
    <t>Revue de la sécurité de l’information</t>
  </si>
  <si>
    <t>Référence</t>
  </si>
  <si>
    <t>Évaluation de la zone de conformité</t>
  </si>
  <si>
    <t>Résultat</t>
  </si>
  <si>
    <t>Checklist</t>
  </si>
  <si>
    <t>Points d'évaluation initiaux</t>
  </si>
  <si>
    <t>Résultats</t>
  </si>
  <si>
    <t xml:space="preserve">[   ] </t>
  </si>
  <si>
    <t>A.5.1.1</t>
  </si>
  <si>
    <t>Politiques de sécurité de l'information</t>
  </si>
  <si>
    <t>1. Existe-t-il des politiques de sécurité ?
2. Ces politiques sont-ils approuvées par le management ?
3. Ces politiques sont-elles communiqués aux employés de la société ?</t>
  </si>
  <si>
    <t>A.5.1.2</t>
  </si>
  <si>
    <t>Revue des politiques de sécurité de l’information</t>
  </si>
  <si>
    <t>1. Les politiques de sécurité sont-elles passées en revue ?
2. Les revues sont-elles à un intervalle régulier ?
3. Des revues sont-elles établissent lors de changements ?</t>
  </si>
  <si>
    <t>A.6.1.1</t>
  </si>
  <si>
    <t>Fonctions et responsabilités liées à la sécurité de l’information</t>
  </si>
  <si>
    <t>Les responsabilités pour la protection des biens individuels et des processus de sécurité spécifiques sont-ils clairement identifiés, définis et communiqués aux parties concernés ?</t>
  </si>
  <si>
    <t>A.6.1.2</t>
  </si>
  <si>
    <t>Séparation des tâches</t>
  </si>
  <si>
    <t>Les fonctions et les domaines de responsabilité sont-ils séparés, afin de limiter les
possibilités de modification ou de mauvais usage, non autorisé(e) ou involontaire, des actifs de
l’organisation ?</t>
  </si>
  <si>
    <t>A.6.1.3</t>
  </si>
  <si>
    <t>Relation avec les autorités</t>
  </si>
  <si>
    <t>1. Existe-t-il une procédure permettant de documenter quand, et par qui, des contacts avec les autorités compétentes (application de la loi, etc.) seront-ils effectués?
2. Existe-t-il un processus qui détaille comment et quand le contact est requis?
3. Existe-t-il un processus de partage systématique des contacts et des renseignements?</t>
  </si>
  <si>
    <t>A.6.1.4</t>
  </si>
  <si>
    <t xml:space="preserve">Relation avec des groupes de travail spécialisés </t>
  </si>
  <si>
    <t>Des personnes dans l'organisation investies dans la sécurité du SI ont-elles des relations appropriées avec des groupes d’intérêt, des forums spécialisés, professionnels, associations dans la sécurité de l’information</t>
  </si>
  <si>
    <t>A.6.1.5</t>
  </si>
  <si>
    <t>La sécurité de l’information dans la gestion de projet</t>
  </si>
  <si>
    <t>Tous les projets font-ils l'objet d'une évaluation de la sécurité de l'information?</t>
  </si>
  <si>
    <t>A.6.2.1</t>
  </si>
  <si>
    <t>Politique en matière d’appareils mobiles</t>
  </si>
  <si>
    <t>1. Existe-t-il une politique de sécurité mobile ?
2. La politique est-elle approuvée par la direction?
3. Cette politique (document) reporte-t-il les risques additionnels concernant l’usage des appareils mobiles (Vol, utilisation de Hotspot, etc.) ?</t>
  </si>
  <si>
    <t>A.6.2.2</t>
  </si>
  <si>
    <t>Télétravail</t>
  </si>
  <si>
    <t>1. Y a-t-il une politique pour le télétravail ?
2. La politique est-elle approuvée par la direction?
3. Existe-t-il un processus défini pour que les « télétravailleurs » puissent accéder à distance à l’organisation ?
4. Les télétravailleurs ont-ils les conseils et l'équipement nécessaires pour protéger leurs biens?</t>
  </si>
  <si>
    <t>A.7.1.1</t>
  </si>
  <si>
    <t>Sélection des candidats</t>
  </si>
  <si>
    <t>1. La vérification des antécédents sont-elles effectuées sur tous les nouveaux candidats à l'emploi?
2. Ces contrôles sont-ils approuvés par l'autorité de gestion appropriée?
3. Les contrôles des antécédents sont-ils règlementaires, éthiques et pertinents ?
4. Le niveau de contrôle est-il en adéquation avec l’analyse de risque ?</t>
  </si>
  <si>
    <t>A.7.1.2</t>
  </si>
  <si>
    <t>Termes et conditions d’embauche</t>
  </si>
  <si>
    <t>1. Tous les employés, les parties prenantes et les utilisateurs tiers sont-ils priés de signer des accords de confidentialité et de non-divulgation?
2. Les contrats d'emploi / de services couvrent-ils spécifiquement la nécessité de protéger les informations commerciales?</t>
  </si>
  <si>
    <t>A.7.2.1</t>
  </si>
  <si>
    <t>Responsabilités de la direction</t>
  </si>
  <si>
    <t>1. Les managers (de tous les niveaux) sont-ils engagés dans l’utilisation de la sécurité dans l’entreprise ?
2. Le management et la conduite des politiques conduit-il, encourage t-il les employés, les parties prenantes, les utilisateurs à appliquer les politiques et procédures de sécurité ?</t>
  </si>
  <si>
    <t>A.7.2.2</t>
  </si>
  <si>
    <t>Sensibilisation, apprentissage et formation à la sécurité de l’information</t>
  </si>
  <si>
    <t>Les employés, parties prenantes sont-ils inscrits à des formations de sensibilisation suivant leurs domaines de travail ?</t>
  </si>
  <si>
    <t>A.7.2.3</t>
  </si>
  <si>
    <t xml:space="preserve">Processus disciplinaire </t>
  </si>
  <si>
    <t>1. Existe-t-il un processus disciplinaire formel qui permet à l'organisation de prendre des mesures contre les employés qui ont commis une violation de la sécurité de l'information?
2. Celles-ci sont elles communiqués aux parties intéressés ?</t>
  </si>
  <si>
    <t>A.7.3.1</t>
  </si>
  <si>
    <t>Achèvement ou modification des responsabilités associées au contrat de travail</t>
  </si>
  <si>
    <t>1. Existe-t-il une procédure documentée pour mettre fin ou modifier des fonctions professionnelles d’un employé?
2. Y a-t-il des fonctions dans la sécurité de l’information pouvant ne pas survivre si un employé est en rupture de contrat ?
3. L'organisation est-elle en mesure de faire respecter les obligations d’un employé en sécurité de l’information avant son départ ?</t>
  </si>
  <si>
    <t>A.8.1.1</t>
  </si>
  <si>
    <t>Inventaire des actifs</t>
  </si>
  <si>
    <t>1. Existe-t-il un inventaire de tous les actifs associés à l’information et moyens de traitement de l’information ?
2. Cet inventaire est-il mise à jour ?</t>
  </si>
  <si>
    <t>A.8.1.2</t>
  </si>
  <si>
    <t>Propriété des actifs</t>
  </si>
  <si>
    <t>Tous les biens informationnels ont-il un propriétaire clairement défini qui est conscient de ses responsabilités ?</t>
  </si>
  <si>
    <t>A.8.1.3</t>
  </si>
  <si>
    <t>Utilisation correcte des actifs</t>
  </si>
  <si>
    <t>1. Existe-t-il une politique d'utilisation pour chaque classe / type d'actif d'information?
2. Les utilisateurs sont-ils au courant de cette politique avant utilisation?</t>
  </si>
  <si>
    <t>A.8.1.4</t>
  </si>
  <si>
    <t>Restitution des actifs</t>
  </si>
  <si>
    <t>Y a-t-il un processus en place pour que les employés en fin de contrat retournent les actifs en leur possession ?</t>
  </si>
  <si>
    <t>A.8.2.1</t>
  </si>
  <si>
    <t>Classification des informations</t>
  </si>
  <si>
    <t>1. Existe-t-il une politique régissant la classification de l'information?
2. Existe-t-il un processus par lequel toutes les informations peuvent être classées de manière appropriée?</t>
  </si>
  <si>
    <t>A.8.2.2</t>
  </si>
  <si>
    <t>Marquage des informations</t>
  </si>
  <si>
    <t>Existe-t-il un processus ou une procédure pour s'assurer que la classification de l'information est correctement marquée sur chaque actif?</t>
  </si>
  <si>
    <t>A.8.2.3</t>
  </si>
  <si>
    <t>Manipulation des actifs</t>
  </si>
  <si>
    <t>1. Existe-t-il une procédure pour traiter chaque classification d'information?
2. Les utilisateurs d'actifs informationnels ont-ils été informés de cette procédure?</t>
  </si>
  <si>
    <t>A.8.3.1</t>
  </si>
  <si>
    <t>Gestion des supports amovibles</t>
  </si>
  <si>
    <t>1. Existe-t-il une politique régissant les supports amovibles?
2. Existe-t-il un processus couvrant « comment les supports amovibles sont gérés »?
3. La politique et les processus (s) sont-ils communiqués à tous les employés utilisant des supports amovibles?</t>
  </si>
  <si>
    <t>A.8.3.2</t>
  </si>
  <si>
    <t>Mise en rebut des supports</t>
  </si>
  <si>
    <t>Existe-t-il une procédure formelle régissant la façon dont les supports amovibles sont détruits ?</t>
  </si>
  <si>
    <t>A.8.3.3</t>
  </si>
  <si>
    <t>1. Existe-t-il une politique et un processus documentés détaillant la façon dont les médias physiques devraient être transportés?
2. Les médias sont ils protégés contre les accès non autorisés, les abus, la corruption?</t>
  </si>
  <si>
    <t>A.9.1.1</t>
  </si>
  <si>
    <t>Politique de contrôle d’accès</t>
  </si>
  <si>
    <t>1. Existe-t-il une politique de contrôle d'accès documentée?
2. La politique est-elle basée sur les exigences du business?
3. La politique est-elle communiquée de façon appropriée?</t>
  </si>
  <si>
    <t>A.9.1.2</t>
  </si>
  <si>
    <t>Accès aux réseaux et services réseau</t>
  </si>
  <si>
    <t>Des contrôles sont-ils en place pour s'assurer que les utilisateurs ont seulement accès aux ressources du réseau qu'ils ont été spécialement autorisés à utiliser et qui sont nécessaires à leurs tâches?</t>
  </si>
  <si>
    <t>A.9.2.1</t>
  </si>
  <si>
    <t>Enregistrement et désinscription des utilisateurs</t>
  </si>
  <si>
    <t>Existe-t-il un processus d'enregistrement de l'accès des utilisateurs en place?</t>
  </si>
  <si>
    <t>A.9.2.2</t>
  </si>
  <si>
    <t>Distribution des accès aux utilisateurs</t>
  </si>
  <si>
    <t>Y a-t-il un processus formel de maîtrise de la gestion des accès utilisateur pour
attribuer ou révoquer des droits d’accès à tous les types d’utilisateurs de tous les systèmes et de tous les services d’information ?</t>
  </si>
  <si>
    <t>A.9.2.3</t>
  </si>
  <si>
    <t>Gestion des droits d’accès à privilèges</t>
  </si>
  <si>
    <t>Les comptes d'accès privilégiés sont-ils gérés et contrôlés séparément?</t>
  </si>
  <si>
    <t>A.9.2.4</t>
  </si>
  <si>
    <t>Gestion des information secrètes d’authentification des utilisateurs</t>
  </si>
  <si>
    <t>Existe-t-il un processus de gestion formel pour contrôler l'attribution d'informations d'authentification secrètes?</t>
  </si>
  <si>
    <t>A.9.2.5</t>
  </si>
  <si>
    <t>Revue des droits d’accès d’utilisateurs</t>
  </si>
  <si>
    <t>1. Existe-t-il un processus permettant aux propriétaires d'actifs de réviser régulièrement leurs droits d'accès à leurs actifs?
2. Ce processus d'évaluation est-il vérifié?</t>
  </si>
  <si>
    <t>A.9.2.6</t>
  </si>
  <si>
    <t>Suppression ou adaptation des droits d’accès</t>
  </si>
  <si>
    <t>Existe-t-il un processus pour s'assurer que les droits d'accès des utilisateurs sont supprimés lors de la cessation d'emploi ou du contrat, ou sont-ils ajustés en fonction du changement de rôle dans l’organisation ?</t>
  </si>
  <si>
    <t>A.9.3.1</t>
  </si>
  <si>
    <t>Utilisation d’informations secrètes d’authentification</t>
  </si>
  <si>
    <t>1. Existe-t-il un document regroupant comment les informations contenant l’authentification secrète doit être utilisé ?
2. Celle-ci est-elle communiqué à tous les utilisateurs ?</t>
  </si>
  <si>
    <t>A.9.4.1</t>
  </si>
  <si>
    <t>Restriction d’accès à l’information</t>
  </si>
  <si>
    <t>L'accès à l'information et les fonctions d'application système sont-elles restreintes conformément à la politique de contrôle d'accès?</t>
  </si>
  <si>
    <t>A.9.4.2</t>
  </si>
  <si>
    <t>Sécuriser les procédures de connexion</t>
  </si>
  <si>
    <t>Lorsque la politique de contrôle d'accès l'exige, l'accès est-il contrôlé par une procédure de connexion sécurisée?</t>
  </si>
  <si>
    <t>A.9.4.3</t>
  </si>
  <si>
    <t>Système de gestion des mots de passe</t>
  </si>
  <si>
    <t>1. Les systèmes de mots de passe sont-ils interactifs?
2. Des mots de passe complexes sont-ils requis?</t>
  </si>
  <si>
    <t>A.9.4.4</t>
  </si>
  <si>
    <t>Utilisation de programme utilitaires à privilèges</t>
  </si>
  <si>
    <t>Les programmes utilitaires à privilégiés sont-ils restreints et surveillés?</t>
  </si>
  <si>
    <t>A.9.4.5</t>
  </si>
  <si>
    <t>Contrôle d’accès au code source des programmes</t>
  </si>
  <si>
    <t>L'accès au code source des programmes est-il protégé?</t>
  </si>
  <si>
    <t>A.10.1.1</t>
  </si>
  <si>
    <t>Politique d’utilisation des mesures cryptographiques</t>
  </si>
  <si>
    <t>Y a-t-il une politique pour les contrôles cryptographiques ?</t>
  </si>
  <si>
    <t>A.10.1.2</t>
  </si>
  <si>
    <t>Gestion des clés</t>
  </si>
  <si>
    <t>Y a-t-il une politique pour la gestion sur l’utilisation, la protection et la durée de vie des clés cryptographiques (cycle de vie) ?</t>
  </si>
  <si>
    <t>A.11.1.1</t>
  </si>
  <si>
    <t>Périmètre de sécurité physique</t>
  </si>
  <si>
    <t>1.  Y a-t-il un périmètre de sécurité définit ?
2.  Les informations sensible, critique sont-elles isolé et dans un endroit contrôlé ?</t>
  </si>
  <si>
    <t>A.11.1.2</t>
  </si>
  <si>
    <t>Contrôle d'accès physique</t>
  </si>
  <si>
    <t>Les zones contrôlés ont-elles des systèmes permettant de vérifier que seulement les personnes autorisées ont accès ?</t>
  </si>
  <si>
    <t>A.11.1.3</t>
  </si>
  <si>
    <t>Sécurisation des bureaux, des salles et équipements</t>
  </si>
  <si>
    <t>1. Les  bureaux, salles et équipements ont t-ils été pensé avec de la sécurité ?
2. Y a-il des processus pour la maintient de la sécurité physique (bureaux propres, fermetures des bureaux) ?</t>
  </si>
  <si>
    <t>A.11.1.4</t>
  </si>
  <si>
    <t xml:space="preserve">Protection contre les menaces extérieures et environnementales </t>
  </si>
  <si>
    <t>Existe t-il des protections physiques contre les désastres naturels, les attaques malveillantes ou les accidents ?</t>
  </si>
  <si>
    <t>A.11.1.5</t>
  </si>
  <si>
    <t>Travail dans les zones sécurisées</t>
  </si>
  <si>
    <t>1. Existe t-il des zones de travails sécurisées ?
2. Des processus ont-ils été établi pour ces zones de travails ?
3. Ces processus sont-ils surveillés et améliorés ?</t>
  </si>
  <si>
    <t>A.11.1.6</t>
  </si>
  <si>
    <t>Zone de livraison et de chargement</t>
  </si>
  <si>
    <t>1. Y a-t-il des zones de livraisons/de chargement isolés afin d’éviter des accès non-autorisés ?
2. L’accès à ces zones de chargements sont-elles contrôlés ?
3. L'accès à partir des zones de chargement est-il isolé des installations de traitement de l'information?</t>
  </si>
  <si>
    <t>A.11.2.1</t>
  </si>
  <si>
    <t xml:space="preserve">Emplacement et protection des matériels </t>
  </si>
  <si>
    <t>1.  Les dangers environnementaux sont-ils identifiés et pris en compte lorsque les emplacements des équipements sont sélectionnés?
2. Les risques liés aux accès / passants non autorisés sont-ils pris en compte lors de l'installation du matériel?</t>
  </si>
  <si>
    <t>A.11.2.2</t>
  </si>
  <si>
    <t>Services généraux</t>
  </si>
  <si>
    <t>1. Existe t-il un système d’alimentation sans interruption ?
2. Ont-ils été testé et et le résultat montre t-il un délai approprié?</t>
  </si>
  <si>
    <t>A.11.2.3</t>
  </si>
  <si>
    <t xml:space="preserve">Sécurité du câblage </t>
  </si>
  <si>
    <t>1. Des évaluations des risques ont-elles été menées sur l'emplacement des câbles d'alimentation et de télécommunications?
2. Sont-ils situés à des endroits ou il sont protégés contre les interférences, les interceptions ou les dommages?</t>
  </si>
  <si>
    <t>A.11.2.4</t>
  </si>
  <si>
    <t xml:space="preserve">Maintenance des matériels </t>
  </si>
  <si>
    <t>Existe-t-il un calendrier de maintenance rigoureux?</t>
  </si>
  <si>
    <t>A.11.2.5</t>
  </si>
  <si>
    <t>sorties des actifs</t>
  </si>
  <si>
    <t>1. Existe-t-il un processus qui contrôle comment les actifs sont supprimés ?
2. Ce processus est-il appliqué?
3. Des contrôles sur place sont-ils effectués?</t>
  </si>
  <si>
    <t>A.11.2.6</t>
  </si>
  <si>
    <t>Sécurité des matériels et des actifs hors des locaux</t>
  </si>
  <si>
    <t>1. Existe-t-il une politique couvrant la sécurité des actifs hors site?
2. Cette politique est-elle largement communiquée?</t>
  </si>
  <si>
    <t>A.11.2.7</t>
  </si>
  <si>
    <t>Mise en rebut ou recyclage sécurisé(e) des matériels</t>
  </si>
  <si>
    <t>1. Existe-t-il une politique couvrant comment les actifs d'information peuvent être réutilisés?
2. Lorsque les données sont effacées, est-ce que cela est correctement vérifié avant la réutilisation / élimination?</t>
  </si>
  <si>
    <t>A.11.2.8</t>
  </si>
  <si>
    <t>Matériels utilisateur laissés sans surveillance</t>
  </si>
  <si>
    <t>1. L'organisation a-t-elle une politique sur la façon dont les équipements sans surveillance devraient être protégés?
2. Des systèmes techniques sont-ils en place pour sécuriser l'équipement qui a été laissé sans surveillance par inadvertance?</t>
  </si>
  <si>
    <t>A.11.2.9</t>
  </si>
  <si>
    <t>Politique du bureau propre et de l’écran verrouillé</t>
  </si>
  <si>
    <t>1. Existe-t-il une politique du bureau propre / écran ?
2. Est-ce bien appliqué?</t>
  </si>
  <si>
    <t>A.12.1.1</t>
  </si>
  <si>
    <t>Procédure d’exploitations documentées</t>
  </si>
  <si>
    <t>1. Les procédures d'exploitation sont-elles bien documentées?
2. Les procédures sont-elles mises à la disposition de tous les utilisateurs qui en ont besoin?</t>
  </si>
  <si>
    <t>A.12.1.2</t>
  </si>
  <si>
    <t>Gestion des changements</t>
  </si>
  <si>
    <t>Existe-t-il un processus de gestion du changement contrôlé?</t>
  </si>
  <si>
    <t>A.12.1.3</t>
  </si>
  <si>
    <t>Dimensionnement</t>
  </si>
  <si>
    <t xml:space="preserve">Existe-t-il un processus de gestion de la capacité?
</t>
  </si>
  <si>
    <t>A.12.1.4</t>
  </si>
  <si>
    <t>Séparation des environnements de développement, de test et d ‘exploitation</t>
  </si>
  <si>
    <t>L'organisation applique-t-elle une ségrégation des environnements de développement, de test et d'exploitation?</t>
  </si>
  <si>
    <t>A.12.2.1</t>
  </si>
  <si>
    <t>Mesures contre les logiciels malveillants</t>
  </si>
  <si>
    <t>1. Les processus de détection des logiciels malveillants sont-ils en place?
2. Les processus sont-ils destinés à empêcher la propagation de logiciels malveillants en place?
3. L'organisation a-t-elle un processus et une capacité à récupérer d'une infection malveillante.</t>
  </si>
  <si>
    <t>A.12.3.1</t>
  </si>
  <si>
    <t>Sauvegarde des informations</t>
  </si>
  <si>
    <t>1. Existe-t-il une politique de sauvegarde convenue?
2. La politique de sauvegarde de l'organisation est-elle conforme aux cadres juridiques pertinents?
3. Les sauvegardes sont-elles conformes à la politique?
4. Les tests de sauvegarde sont-ils effectués?</t>
  </si>
  <si>
    <t>A.12.4.1</t>
  </si>
  <si>
    <t>Journalisation des évènements</t>
  </si>
  <si>
    <t>Les journaux d'événements appropriés sont-ils maintenus et régulièrement examinés?</t>
  </si>
  <si>
    <t>A.12.4.2</t>
  </si>
  <si>
    <t>Protection de l’information journalisée</t>
  </si>
  <si>
    <t>Les installations de journalisation sont-elles protégées contre la falsification et l'accès non autorisé?</t>
  </si>
  <si>
    <t>A.12.4.3</t>
  </si>
  <si>
    <t>Journaux administrateur et opérateur</t>
  </si>
  <si>
    <t>Les journaux sysadmin / sysop sont-ils maintenus, protégés et régulièrement examinés?</t>
  </si>
  <si>
    <t>A.12.4.4</t>
  </si>
  <si>
    <t>Synchronisation des horloges</t>
  </si>
  <si>
    <t>Toutes les horloges de l’organisation sont-elles synchronisées ?</t>
  </si>
  <si>
    <t>A.12.5.1</t>
  </si>
  <si>
    <t>Installation de logiciels sur des systèmes en exploitation</t>
  </si>
  <si>
    <t>Existe-t-il un processus en place pour contrôler l'installation de logiciels sur des systèmes opérationnels ?</t>
  </si>
  <si>
    <t>A.12.6.1</t>
  </si>
  <si>
    <t>1. L'organisation a-t-elle accès à des informations mises à jour et en temps opportun sur les vulnérabilités techniques ?
2.Existe-t-il un processus pour évaluer et réagir à toutes les nouvelles vulnérabilités à mesure qu'elles sont découvertes ?</t>
  </si>
  <si>
    <t>A.12.6.2</t>
  </si>
  <si>
    <t>Restriction liées à l’installation de logiciels</t>
  </si>
  <si>
    <t>Existe-t-il des processus pour restreindre la façon dont les utilisateurs installent le logiciel ?</t>
  </si>
  <si>
    <t>A.12.7.1</t>
  </si>
  <si>
    <t>Mesures relatives à l’audit des systèmes d’information</t>
  </si>
  <si>
    <t>1. Le SI  sont-ils soumis à vérification ?
2. L'audit ne perturbe t-il pas l’entreprise ?</t>
  </si>
  <si>
    <t>A.13.1.1</t>
  </si>
  <si>
    <t>Contrôle des réseaux</t>
  </si>
  <si>
    <t>Existe-t-il un processus de gestion du réseau en place ?</t>
  </si>
  <si>
    <t>A.13.1.2</t>
  </si>
  <si>
    <t>Sécurité des services de réseau</t>
  </si>
  <si>
    <t>1. L'organisation met-elle en œuvre une approche de gestion des risques qui identifie tous les services de réseau et les accords de service ?
2. La sécurité est-elle obligatoire dans les accords et les contrats avec les fournisseurs de services (en interne et sous-traités).
3. Les SLA liés à la sécurité sont-ils mandatés ?</t>
  </si>
  <si>
    <t>A.13.1.3</t>
  </si>
  <si>
    <t>Cloisonnement des réseaux</t>
  </si>
  <si>
    <t>La topologie du réseau impose-t-elle une ségrégation des réseaux pour différentes tâches ?</t>
  </si>
  <si>
    <t>A.13.2.1</t>
  </si>
  <si>
    <t>Politiques et procédures de transfert de l’information</t>
  </si>
  <si>
    <t>1. Les politiques organisationnelles régissent-elles la façon dont les informations sont transférées ?
2. Les procédures permettant de transférer les données sont-elles mises à la disposition de tous les employés ?
3. Des contrôles techniques pertinents sont-ils en place pour empêcher les transferts de données non autorisés ?</t>
  </si>
  <si>
    <t>A.13.2.2</t>
  </si>
  <si>
    <t>Accords en matière de transfert d’information</t>
  </si>
  <si>
    <t>Les contrats conclus avec des parties externes et les accords au sein de l'organisation détaillent-ils les conditions requises pour sécuriser les informations commerciales en cours de transfert?</t>
  </si>
  <si>
    <t>A.13.2.3</t>
  </si>
  <si>
    <t>Messagerie électronique</t>
  </si>
  <si>
    <t>Les politiques de sécurité couvrent-elles l'utilisation du transfert d'informations lors de l'utilisation de systèmes de messagerie électronique ?</t>
  </si>
  <si>
    <t>A.13.2.4</t>
  </si>
  <si>
    <t>Engagement de confidentialité ou de non-divulgation</t>
  </si>
  <si>
    <t>1. Les employés, les entrepreneurs et les agents signent-ils des accords de confidentialité ou de non-divulgation ?
2. Ces engagements sont-ils soumis à un examen régulier ?
3. Les enregistrements des engagements sont-ils maintenus ?</t>
  </si>
  <si>
    <t>A.14.1.1</t>
  </si>
  <si>
    <t>Analyse et spécification des exigences de sécurité de l’information</t>
  </si>
  <si>
    <t>1. Les exigences de sécurité de l'information sont-elles spécifiées lorsque de nouveaux systèmes sont introduits?
2. Lorsque les systèmes sont améliorés ou mise à jour, les exigences de sécurité sont-elles spécifiées et abordées?</t>
  </si>
  <si>
    <t>A.14.1.2</t>
  </si>
  <si>
    <t>Sécurisation des services d’application sur les réseaux publics</t>
  </si>
  <si>
    <t>Les applications qui envoient des informations sur des réseaux publics protègent-elles de manière appropriée les informations contre les activités frauduleuses, les conflits contractuels, les divulgateurs non autorisés et les modifications non autorisées?</t>
  </si>
  <si>
    <t>A.14.1.3</t>
  </si>
  <si>
    <t>Protection des transactions liées aux services d’application</t>
  </si>
  <si>
    <t>Des contrôles sont-ils en place pour empêcher une transmission incomplète, une mauvaise transposition, une altération de message non autorisée, une divulgation non autorisée, une duplication de message non autorisée ou des attaques de répétition?</t>
  </si>
  <si>
    <t>A.14.2.1</t>
  </si>
  <si>
    <t>Politique de développement sécurisé</t>
  </si>
  <si>
    <t>1. L'organisation développe-t-elle un logiciel ou un système?
2. Si l’item ci-dessus est affirmatif existe-t-il des politiques exigeant la mise en œuvre et l'évaluation des contrôles de sécurité?</t>
  </si>
  <si>
    <t>A.14.2.2</t>
  </si>
  <si>
    <t>Procédures de contrôle des changements de système</t>
  </si>
  <si>
    <t>Existe-t-il un processus formel de contrôle des changements?</t>
  </si>
  <si>
    <t>A.14.2.3</t>
  </si>
  <si>
    <t>Revue technique des applications après changement apporté à la plateforme d’exploitation</t>
  </si>
  <si>
    <t>Existe-t-il un processus pour s'assurer qu'un examen technique est effectué lorsque les plates-formes d'exploitation sont modifiées?</t>
  </si>
  <si>
    <t>A.14.2.4</t>
  </si>
  <si>
    <t>Restrictions relatives aux changements apportés aux progiciels</t>
  </si>
  <si>
    <t>Existe-t-il une politique qui exige quand et comment les paquets de logiciels peuvent être changer ou modifiés?</t>
  </si>
  <si>
    <t>A.14.2.5</t>
  </si>
  <si>
    <t>Principes d’ingénierie de la sécurité des systèmes</t>
  </si>
  <si>
    <t>L'organisation a-t-elle des principes documentés sur la manière dont les systèmes doivent être conçus pour assurer la sécurité?</t>
  </si>
  <si>
    <t>A.14.2.6</t>
  </si>
  <si>
    <t>Environnement de développement sécurisé</t>
  </si>
  <si>
    <t>1. un environnement de développement sécurisé at-il été établi?
2. Tous les projets utilisent-ils l'environnement de développement sécurisé de manière appropriée pendant le cycle de développement du système?</t>
  </si>
  <si>
    <t>A.14.2.7</t>
  </si>
  <si>
    <t>Développement externalisé</t>
  </si>
  <si>
    <t>1. Lorsque le développement a été externalisé, est-ce supervisé?
2. Le code développé à l'externe est-il sujet à une évaluation de sécurité avant le déploiement?</t>
  </si>
  <si>
    <t>A.14.2.8</t>
  </si>
  <si>
    <t>Test de la sécurité du système</t>
  </si>
  <si>
    <t>Lorsque des systèmes ou des applications sont développés, les tests de sécurité sont-ils testés dans le cadre du processus de développement?</t>
  </si>
  <si>
    <t>A.14.2.9</t>
  </si>
  <si>
    <t>Test de conformité du système</t>
  </si>
  <si>
    <t>Existe-t-il un processus établi pour accepter de nouveaux systèmes / applications, ou mises à niveau, dans l'utilisation de la production?</t>
  </si>
  <si>
    <t>A.14.3.1</t>
  </si>
  <si>
    <t>Protection des données de test</t>
  </si>
  <si>
    <t>1. Existe-t-il un processus de séparation des données de test?
2. Les données de test sont-elles convenablement protégées?</t>
  </si>
  <si>
    <t>A.15.1.1</t>
  </si>
  <si>
    <t>Politique de sécurité de l’information dans les relations avec les fournisseurs</t>
  </si>
  <si>
    <t>1. La sécurité de l'information est-elle incluse dans les contrats établis avec les fournisseurs ?
2. Existe-t-il une approche de gestion des risques à l'échelle de l'organisation pour les relations avec les fournisseurs?</t>
  </si>
  <si>
    <t>A.15.1.2</t>
  </si>
  <si>
    <t>La sécurité dans les accords conclus avec les fournisseurs</t>
  </si>
  <si>
    <t>1. Les fournisseurs ont-ils des exigences de sécurité documentées?
2. L'accès des fournisseurs à l'information et à l'infrastructure est-il contrôlé et surveillé?</t>
  </si>
  <si>
    <t>A.15.1.3</t>
  </si>
  <si>
    <t>Chaîne d’approvisionnement des produits et des services informatiques</t>
  </si>
  <si>
    <t>Les accords de fournisseur incluent-ils des exigences pour répondre à la sécurité de l'information dans la chaîne d'approvisionnement des services et des produits?</t>
  </si>
  <si>
    <t>A.15.2.1</t>
  </si>
  <si>
    <t>Surveillance et revue des services des fournisseurs</t>
  </si>
  <si>
    <t>Les fournisseurs sont-ils soumis à un examen et une vérification réguliers?</t>
  </si>
  <si>
    <t>A.15.2.2</t>
  </si>
  <si>
    <t>Gestion des changements apportés dans les services des fournisseurs</t>
  </si>
  <si>
    <t>Les changements apportés à la prestation de services sont-ils assujettis à un processus de gestion qui comprend l'évaluation de la sécurité et des risques?</t>
  </si>
  <si>
    <t>A.16.1.1</t>
  </si>
  <si>
    <t>Responsabilités et procédures</t>
  </si>
  <si>
    <t>Les responsabilités de gestion sont-elles clairement identifiées et documentées dans les processus de gestion des incidents?</t>
  </si>
  <si>
    <t>A.16.1.2</t>
  </si>
  <si>
    <t>Signalement des évènements liés à la sécurité de l’information</t>
  </si>
  <si>
    <t>1. Existe-t-il un processus de «timely reporting »  opportun des événements de sécurité de l'information?
2. Existe-t-il un processus pour examiner et agir sur les événements signalés sur la sécurité de l'information?</t>
  </si>
  <si>
    <t>A.16.1.3</t>
  </si>
  <si>
    <t>Signalement des failles liées à la sécurité de l’information</t>
  </si>
  <si>
    <t>1.Existe-t-il un processus pour signaler les faiblesses identifiées en matière de sécurité de l'information?
2.Ce processus est-il largement communiqué?
3. Existe-t-il un processus pour examiner et addresser les rapports en temps opportun?</t>
  </si>
  <si>
    <t>A.16.1.4</t>
  </si>
  <si>
    <t>Appréciation des évènements liés à la sécurité de l’information et prise de décision</t>
  </si>
  <si>
    <t>Existe-t-il un processus pour s'assurer que les événements de sécurité de l'information sont correctement évalués et classés?</t>
  </si>
  <si>
    <t>A.16.1.5</t>
  </si>
  <si>
    <t>Réponse aux incidents liés à la sécurité de l’information</t>
  </si>
  <si>
    <t>Existe-t-il un processus de réponse aux incidents qui reflète la classification et la sévérité des incidents de sécurité de l'information?</t>
  </si>
  <si>
    <t>A.16.1.6</t>
  </si>
  <si>
    <t>Tirer des enseignements des incidents liés à la sécurité de l’information</t>
  </si>
  <si>
    <t>Existe-t-il un processus ou framework qui permet à l'organisation d'apprendre des incidents de sécurité de l'information et de réduire l'impact / la probabilité des événements futurs?</t>
  </si>
  <si>
    <t>A.16.1.7</t>
  </si>
  <si>
    <t>Collecte de preuves</t>
  </si>
  <si>
    <t>1. Existe-t-il une politique pour le Forensic
2. Dans le cas d'un incident de sécurité de l'information, les données pertinentes sont-elles collectées de manière à l'utiliser comme preuve?</t>
  </si>
  <si>
    <t>A.17.1.1</t>
  </si>
  <si>
    <t>Organisation de la continuité de la sécurité de l’information</t>
  </si>
  <si>
    <t xml:space="preserve">La sécurité d'information est-elle incluse dans les plans de continuité de l'organisation?
</t>
  </si>
  <si>
    <t>A.17.1.2</t>
  </si>
  <si>
    <t xml:space="preserve">Mise en oeuvre de la continuité de la sécurité de l’information </t>
  </si>
  <si>
    <t>La fonction de sécurité de l'information de l'organisation at-elle documenté, mis en œuvre et maintenu des processus pour maintenir la continuité du service lors d'une situation défavorable?</t>
  </si>
  <si>
    <t>A.17.1.3</t>
  </si>
  <si>
    <t>Vérifier, revoir et évaluer la continuité de la sécurité de l’information</t>
  </si>
  <si>
    <t>Les plans de continuité sont-ils validés et vérifiés à intervalles réguliers?</t>
  </si>
  <si>
    <t>A.17.2.1</t>
  </si>
  <si>
    <t xml:space="preserve">Disponibilité des moyens de traitement de l’information </t>
  </si>
  <si>
    <t>Les installations de traitement de l'information ont-elles une redondance suffisante pour répondre aux exigences de disponibilité des organisations?</t>
  </si>
  <si>
    <t>A.18.1.1</t>
  </si>
  <si>
    <t xml:space="preserve">Identification de la législation et des exigences contractuelles applicables </t>
  </si>
  <si>
    <t>1. L'organisation at-elle identifié et documenté toutes les exigences législatives, réglementaires ou contractuelles pertinentes liées à la sécurité?
2. La conformité est-elle documentée?</t>
  </si>
  <si>
    <t>A.18.1.2</t>
  </si>
  <si>
    <t xml:space="preserve">Droits de propriété intellectuelle </t>
  </si>
  <si>
    <t>1. Est-ce que l'organisation tient un registre de tous les droits de propriété intellectuelle et l'utilisation de produits logiciels exclusifs?
2. L'organisation surveille-t-elle l'utilisation de logiciels sans licence?</t>
  </si>
  <si>
    <t>A.18.1.3</t>
  </si>
  <si>
    <t>Protection des enregistrements</t>
  </si>
  <si>
    <t>Les dossiers sont-ils protégés contre les pertes, les destructions, les falsifications et l'accès ou la publication non autorisés conformément aux exigences législatives, réglementaires, contractuelles et commerciales?</t>
  </si>
  <si>
    <t>A.18.1.4</t>
  </si>
  <si>
    <t>Protection de la vie privée et protection des données à caractères personnelles</t>
  </si>
  <si>
    <t>1. Les données personnelles sont-elles identifiées et classées de manière appropriée?
2. Les données personnelles sont-elles protégées conformément à la législation pertinente?</t>
  </si>
  <si>
    <t>A.18.1.5</t>
  </si>
  <si>
    <t>Réglementation relative aux mesures cryptographiques</t>
  </si>
  <si>
    <t>Les contrôles cryptographiques sont-ils protégés conformément à tous les accords, lois et règlements pertinents?</t>
  </si>
  <si>
    <t>A.18.2.1</t>
  </si>
  <si>
    <t>Revue indépendante de la sécurité de l’information</t>
  </si>
  <si>
    <t>1. L'approche des organisations pour gérer la sécurité de l'information est-elle soumise à un examen indépendant régulier?
2. La mise en œuvre des contrôles de sécurité est-elle soumise à un examen indépendant régulier?</t>
  </si>
  <si>
    <t>A.18.2.2</t>
  </si>
  <si>
    <t>Conformité avec les politiques et les normes de sécurité</t>
  </si>
  <si>
    <t>1. L'organisation demande-t-elle aux gestionnaires d'examiner régulièrement le respect de la politique et des procédures dans leur domaine de responsabilité?
2. Les comptes-rendus sont-ils conservés?</t>
  </si>
  <si>
    <t>A.18.2.3</t>
  </si>
  <si>
    <t>Vérification de la conformité technique</t>
  </si>
  <si>
    <t>L'organisation effectue-t-elle régulièrement des examens techniques de conformité de ses systèmes d'information?</t>
  </si>
</sst>
</file>

<file path=xl/styles.xml><?xml version="1.0" encoding="utf-8"?>
<styleSheet xmlns="http://schemas.openxmlformats.org/spreadsheetml/2006/main" xmlns:x14ac="http://schemas.microsoft.com/office/spreadsheetml/2009/9/ac" xmlns:mc="http://schemas.openxmlformats.org/markup-compatibility/2006">
  <fonts count="18">
    <font>
      <b/>
      <sz val="15.0"/>
      <color rgb="FF44546A"/>
      <name val="Verdana"/>
    </font>
    <font>
      <b/>
      <sz val="18.0"/>
      <color rgb="FF000000"/>
      <name val="Helvetica"/>
    </font>
    <font>
      <b/>
      <sz val="12.0"/>
      <color rgb="FF44546A"/>
      <name val="Calibri"/>
    </font>
    <font/>
    <font>
      <b/>
      <sz val="15.0"/>
      <color rgb="FF44546A"/>
      <name val="Calibri"/>
    </font>
    <font>
      <sz val="12.0"/>
      <color rgb="FF000000"/>
      <name val="Verdana"/>
    </font>
    <font>
      <sz val="12.0"/>
      <color rgb="FF000000"/>
      <name val="Helvetica Neue"/>
    </font>
    <font>
      <b/>
      <sz val="13.0"/>
      <color rgb="FF44546A"/>
      <name val="Verdana"/>
    </font>
    <font>
      <sz val="14.0"/>
      <color rgb="FF000000"/>
      <name val="Verdana"/>
    </font>
    <font>
      <b/>
      <sz val="15.0"/>
      <color rgb="FF000000"/>
      <name val="Trebuchet MS"/>
    </font>
    <font>
      <b/>
      <sz val="15.0"/>
      <color rgb="FF000000"/>
      <name val="Verdana"/>
    </font>
    <font>
      <sz val="13.0"/>
      <color rgb="FF000000"/>
      <name val="Verdana"/>
    </font>
    <font>
      <b/>
      <sz val="18.0"/>
      <color rgb="FF000000"/>
      <name val="Helvetica Neue"/>
    </font>
    <font>
      <b/>
      <sz val="14.0"/>
      <color rgb="FF44546A"/>
      <name val="Calibri"/>
    </font>
    <font>
      <b/>
      <sz val="12.0"/>
      <color rgb="FF44546A"/>
      <name val="Trebuchet MS"/>
    </font>
    <font>
      <b/>
      <sz val="15.0"/>
      <color rgb="FFFFFFFF"/>
      <name val="Trebuchet MS"/>
    </font>
    <font>
      <b/>
      <sz val="15.0"/>
      <color rgb="FF44546A"/>
      <name val="Trebuchet MS"/>
    </font>
    <font>
      <b/>
      <sz val="15.0"/>
      <color rgb="FFFFFFFF"/>
      <name val="Verdana"/>
    </font>
  </fonts>
  <fills count="10">
    <fill>
      <patternFill patternType="none"/>
    </fill>
    <fill>
      <patternFill patternType="lightGray"/>
    </fill>
    <fill>
      <patternFill patternType="solid">
        <fgColor rgb="FFBDD6EE"/>
        <bgColor rgb="FFBDD6EE"/>
      </patternFill>
    </fill>
    <fill>
      <patternFill patternType="solid">
        <fgColor rgb="FFFFFFFF"/>
        <bgColor rgb="FFFFFFFF"/>
      </patternFill>
    </fill>
    <fill>
      <patternFill patternType="solid">
        <fgColor rgb="FFADCDEA"/>
        <bgColor rgb="FFADCDEA"/>
      </patternFill>
    </fill>
    <fill>
      <patternFill patternType="solid">
        <fgColor rgb="FFF3F3F3"/>
        <bgColor rgb="FFF3F3F3"/>
      </patternFill>
    </fill>
    <fill>
      <patternFill patternType="solid">
        <fgColor rgb="FFFFC000"/>
        <bgColor rgb="FFFFC000"/>
      </patternFill>
    </fill>
    <fill>
      <patternFill patternType="solid">
        <fgColor rgb="FFC5DEB5"/>
        <bgColor rgb="FFC5DEB5"/>
      </patternFill>
    </fill>
    <fill>
      <patternFill patternType="solid">
        <fgColor rgb="FF4472C4"/>
        <bgColor rgb="FF4472C4"/>
      </patternFill>
    </fill>
    <fill>
      <patternFill patternType="solid">
        <fgColor rgb="FFF2F2F2"/>
        <bgColor rgb="FFF2F2F2"/>
      </patternFill>
    </fill>
  </fills>
  <borders count="4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AAAAAA"/>
      </top>
    </border>
    <border>
      <right style="thin">
        <color rgb="FFAAAAAA"/>
      </right>
      <top style="thin">
        <color rgb="FFAAAAAA"/>
      </top>
    </border>
    <border>
      <left style="thin">
        <color rgb="FF000000"/>
      </left>
      <right style="thin">
        <color rgb="FF000000"/>
      </right>
      <top style="thin">
        <color rgb="FF000000"/>
      </top>
      <bottom style="thin">
        <color rgb="FF000000"/>
      </bottom>
    </border>
    <border>
      <left style="thin">
        <color rgb="FF000000"/>
      </left>
    </border>
    <border>
      <right style="thin">
        <color rgb="FFAAAAAA"/>
      </right>
    </border>
    <border>
      <left style="thin">
        <color rgb="FFAAAAAA"/>
      </left>
      <bottom/>
    </border>
    <border>
      <bottom/>
    </border>
    <border>
      <right style="thin">
        <color rgb="FFAAAAAA"/>
      </right>
      <bottom/>
    </border>
    <border>
      <left style="thin">
        <color rgb="FFAAAAAA"/>
      </left>
      <top/>
      <bottom style="thin">
        <color rgb="FF515151"/>
      </bottom>
    </border>
    <border>
      <top/>
      <bottom style="thin">
        <color rgb="FF515151"/>
      </bottom>
    </border>
    <border>
      <right style="thin">
        <color rgb="FFAAAAAA"/>
      </right>
      <top/>
      <bottom style="thin">
        <color rgb="FF515151"/>
      </bottom>
    </border>
    <border>
      <left style="thin">
        <color rgb="FF515151"/>
      </left>
      <top style="thin">
        <color rgb="FF515151"/>
      </top>
      <bottom style="thin">
        <color rgb="FF515151"/>
      </bottom>
    </border>
    <border>
      <top style="thin">
        <color rgb="FF515151"/>
      </top>
      <bottom style="thin">
        <color rgb="FF515151"/>
      </bottom>
    </border>
    <border>
      <right style="thin">
        <color rgb="FF515151"/>
      </right>
      <top style="thin">
        <color rgb="FF515151"/>
      </top>
      <bottom style="thin">
        <color rgb="FF515151"/>
      </bottom>
    </border>
    <border>
      <left style="thin">
        <color rgb="FF515151"/>
      </left>
      <right style="thin">
        <color rgb="FF515151"/>
      </right>
      <top style="thin">
        <color rgb="FF515151"/>
      </top>
      <bottom style="thin">
        <color rgb="FF515151"/>
      </bottom>
    </border>
    <border>
      <left style="thin">
        <color rgb="FFAAAAAA"/>
      </left>
      <top style="thin">
        <color rgb="FF000000"/>
      </top>
    </border>
    <border>
      <top style="thin">
        <color rgb="FF000000"/>
      </top>
    </border>
    <border>
      <left style="thin">
        <color rgb="FFAAAAAA"/>
      </left>
    </border>
    <border>
      <left style="thin">
        <color rgb="FFAAAAAA"/>
      </left>
      <bottom style="thin">
        <color rgb="FF000000"/>
      </bottom>
    </border>
    <border>
      <bottom style="thin">
        <color rgb="FF000000"/>
      </bottom>
    </border>
    <border>
      <left style="thin">
        <color rgb="FFAAAAAA"/>
      </left>
      <bottom style="thin">
        <color rgb="FFAAAAAA"/>
      </bottom>
    </border>
    <border>
      <bottom style="thin">
        <color rgb="FFAAAAAA"/>
      </bottom>
    </border>
    <border>
      <left/>
      <right/>
      <top/>
      <bottom style="thin">
        <color rgb="FFAAAAAA"/>
      </bottom>
    </border>
    <border>
      <right style="thin">
        <color rgb="FFAAAAAA"/>
      </right>
      <bottom style="thin">
        <color rgb="FFAAAAAA"/>
      </bottom>
    </border>
    <border>
      <right/>
      <bottom/>
    </border>
    <border>
      <left style="thin">
        <color rgb="FFAAAAAA"/>
      </left>
      <top style="thin">
        <color rgb="FF000000"/>
      </top>
      <bottom style="thin">
        <color rgb="FF000000"/>
      </bottom>
    </border>
    <border>
      <left style="thin">
        <color rgb="FFAAAAAA"/>
      </left>
      <right style="thin">
        <color rgb="FF000000"/>
      </right>
      <top style="thin">
        <color rgb="FF000000"/>
      </top>
      <bottom style="thin">
        <color rgb="FF000000"/>
      </bottom>
    </border>
    <border>
      <left style="thick">
        <color rgb="FF385623"/>
      </left>
      <top style="thick">
        <color rgb="FF385623"/>
      </top>
      <bottom style="thin">
        <color rgb="FF000000"/>
      </bottom>
    </border>
    <border>
      <right style="thin">
        <color rgb="FF000000"/>
      </right>
      <top style="thick">
        <color rgb="FF385623"/>
      </top>
      <bottom style="thin">
        <color rgb="FF000000"/>
      </bottom>
    </border>
    <border>
      <left style="thin">
        <color rgb="FF000000"/>
      </left>
      <top style="thick">
        <color rgb="FF385623"/>
      </top>
      <bottom style="thin">
        <color rgb="FF000000"/>
      </bottom>
    </border>
    <border>
      <right style="thick">
        <color rgb="FF385623"/>
      </right>
      <top style="thick">
        <color rgb="FF385623"/>
      </top>
      <bottom style="thin">
        <color rgb="FF000000"/>
      </bottom>
    </border>
    <border>
      <left style="thick">
        <color rgb="FF385623"/>
      </left>
      <right style="thin">
        <color rgb="FF000000"/>
      </right>
      <top style="thin">
        <color rgb="FF000000"/>
      </top>
      <bottom style="thin">
        <color rgb="FF000000"/>
      </bottom>
    </border>
    <border>
      <left style="thin">
        <color rgb="FF000000"/>
      </left>
      <right style="thick">
        <color rgb="FF385623"/>
      </right>
      <top style="thin">
        <color rgb="FF000000"/>
      </top>
      <bottom style="thin">
        <color rgb="FF000000"/>
      </bottom>
    </border>
    <border>
      <right style="thick">
        <color rgb="FF385623"/>
      </right>
      <top style="thin">
        <color rgb="FF000000"/>
      </top>
      <bottom style="thin">
        <color rgb="FF000000"/>
      </bottom>
    </border>
    <border>
      <left style="thin">
        <color rgb="FF000000"/>
      </left>
      <right style="thin">
        <color rgb="FF000000"/>
      </right>
      <top style="thin">
        <color rgb="FF000000"/>
      </top>
      <bottom style="thick">
        <color rgb="FF385623"/>
      </bottom>
    </border>
    <border>
      <left style="thin">
        <color rgb="FF000000"/>
      </left>
      <right style="thick">
        <color rgb="FF385623"/>
      </right>
      <top style="thin">
        <color rgb="FF000000"/>
      </top>
      <bottom style="thick">
        <color rgb="FF385623"/>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90">
    <xf borderId="0" fillId="0" fontId="0" numFmtId="0" xfId="0" applyAlignment="1" applyFont="1">
      <alignment horizontal="center" readingOrder="0" shrinkToFit="0" vertical="bottom" wrapText="0"/>
    </xf>
    <xf borderId="1" fillId="0" fontId="1" numFmtId="49" xfId="0" applyAlignment="1" applyBorder="1" applyFont="1" applyNumberFormat="1">
      <alignment horizontal="center" readingOrder="0" shrinkToFit="0" vertical="center" wrapText="1"/>
    </xf>
    <xf borderId="1" fillId="0" fontId="2" numFmtId="49" xfId="0" applyAlignment="1" applyBorder="1" applyFont="1" applyNumberFormat="1">
      <alignment horizontal="center" vertical="center"/>
    </xf>
    <xf borderId="2" fillId="0" fontId="3" numFmtId="0" xfId="0" applyAlignment="1" applyBorder="1" applyFont="1">
      <alignment horizontal="center"/>
    </xf>
    <xf borderId="3" fillId="0" fontId="3" numFmtId="0" xfId="0" applyAlignment="1" applyBorder="1" applyFont="1">
      <alignment horizontal="center"/>
    </xf>
    <xf borderId="4" fillId="0" fontId="0" numFmtId="0" xfId="0" applyAlignment="1" applyBorder="1" applyFont="1">
      <alignment horizontal="center" vertical="bottom"/>
    </xf>
    <xf borderId="5" fillId="0" fontId="0" numFmtId="0" xfId="0" applyAlignment="1" applyBorder="1" applyFont="1">
      <alignment horizontal="center" vertical="bottom"/>
    </xf>
    <xf borderId="0" fillId="0" fontId="0" numFmtId="0" xfId="0" applyAlignment="1" applyFont="1">
      <alignment horizontal="center" vertical="bottom"/>
    </xf>
    <xf borderId="6" fillId="2" fontId="4" numFmtId="49" xfId="0" applyAlignment="1" applyBorder="1" applyFill="1" applyFont="1" applyNumberFormat="1">
      <alignment horizontal="center" vertical="center"/>
    </xf>
    <xf borderId="6" fillId="2" fontId="4" numFmtId="49" xfId="0" applyAlignment="1" applyBorder="1" applyFont="1" applyNumberFormat="1">
      <alignment horizontal="center" shrinkToFit="0" vertical="center" wrapText="1"/>
    </xf>
    <xf borderId="7" fillId="0" fontId="0" numFmtId="0" xfId="0" applyAlignment="1" applyBorder="1" applyFont="1">
      <alignment horizontal="center" vertical="bottom"/>
    </xf>
    <xf borderId="8" fillId="0" fontId="0" numFmtId="0" xfId="0" applyAlignment="1" applyBorder="1" applyFont="1">
      <alignment horizontal="center" vertical="bottom"/>
    </xf>
    <xf borderId="9" fillId="3" fontId="5" numFmtId="0" xfId="0" applyAlignment="1" applyBorder="1" applyFill="1" applyFont="1">
      <alignment horizontal="left" shrinkToFit="0" vertical="top" wrapText="1"/>
    </xf>
    <xf borderId="6" fillId="3" fontId="6" numFmtId="49" xfId="0" applyAlignment="1" applyBorder="1" applyFont="1" applyNumberFormat="1">
      <alignment horizontal="left" vertical="center"/>
    </xf>
    <xf borderId="10" fillId="0" fontId="3" numFmtId="0" xfId="0" applyAlignment="1" applyBorder="1" applyFont="1">
      <alignment horizontal="center"/>
    </xf>
    <xf borderId="11" fillId="0" fontId="3" numFmtId="0" xfId="0" applyAlignment="1" applyBorder="1" applyFont="1">
      <alignment horizontal="center"/>
    </xf>
    <xf borderId="6" fillId="3" fontId="7" numFmtId="9" xfId="0" applyAlignment="1" applyBorder="1" applyFont="1" applyNumberFormat="1">
      <alignment horizontal="center" vertical="center"/>
    </xf>
    <xf borderId="12" fillId="3" fontId="8" numFmtId="49" xfId="0" applyAlignment="1" applyBorder="1" applyFont="1" applyNumberFormat="1">
      <alignment horizontal="left" readingOrder="0" shrinkToFit="0" vertical="top" wrapText="1"/>
    </xf>
    <xf borderId="13" fillId="0" fontId="3" numFmtId="0" xfId="0" applyAlignment="1" applyBorder="1" applyFont="1">
      <alignment horizontal="center"/>
    </xf>
    <xf borderId="14" fillId="0" fontId="3" numFmtId="0" xfId="0" applyAlignment="1" applyBorder="1" applyFont="1">
      <alignment horizontal="center"/>
    </xf>
    <xf borderId="15" fillId="3" fontId="9" numFmtId="49" xfId="0" applyAlignment="1" applyBorder="1" applyFont="1" applyNumberFormat="1">
      <alignment horizontal="center" shrinkToFit="0" vertical="bottom" wrapText="1"/>
    </xf>
    <xf borderId="16" fillId="0" fontId="3" numFmtId="0" xfId="0" applyAlignment="1" applyBorder="1" applyFont="1">
      <alignment horizontal="center"/>
    </xf>
    <xf borderId="17" fillId="0" fontId="3" numFmtId="0" xfId="0" applyAlignment="1" applyBorder="1" applyFont="1">
      <alignment horizontal="center"/>
    </xf>
    <xf borderId="18" fillId="4" fontId="9" numFmtId="49" xfId="0" applyAlignment="1" applyBorder="1" applyFill="1" applyFont="1" applyNumberFormat="1">
      <alignment horizontal="center" vertical="center"/>
    </xf>
    <xf borderId="18" fillId="3" fontId="10" numFmtId="0" xfId="0" applyAlignment="1" applyBorder="1" applyFont="1">
      <alignment horizontal="center" vertical="bottom"/>
    </xf>
    <xf borderId="18" fillId="5" fontId="10" numFmtId="0" xfId="0" applyAlignment="1" applyBorder="1" applyFill="1" applyFont="1">
      <alignment horizontal="center" shrinkToFit="0" vertical="bottom" wrapText="1"/>
    </xf>
    <xf borderId="18" fillId="3" fontId="5" numFmtId="49" xfId="0" applyAlignment="1" applyBorder="1" applyFont="1" applyNumberFormat="1">
      <alignment horizontal="center" shrinkToFit="0" vertical="center" wrapText="1"/>
    </xf>
    <xf borderId="18" fillId="0" fontId="5" numFmtId="0" xfId="0" applyAlignment="1" applyBorder="1" applyFont="1">
      <alignment horizontal="center" vertical="bottom"/>
    </xf>
    <xf borderId="6" fillId="3" fontId="6" numFmtId="49" xfId="0" applyAlignment="1" applyBorder="1" applyFont="1" applyNumberFormat="1">
      <alignment horizontal="left" shrinkToFit="0" vertical="center" wrapText="1"/>
    </xf>
    <xf borderId="18" fillId="4" fontId="9" numFmtId="49" xfId="0" applyAlignment="1" applyBorder="1" applyFont="1" applyNumberFormat="1">
      <alignment horizontal="center" shrinkToFit="0" vertical="center" wrapText="1"/>
    </xf>
    <xf borderId="18" fillId="0" fontId="11" numFmtId="0" xfId="0" applyAlignment="1" applyBorder="1" applyFont="1">
      <alignment horizontal="center" vertical="bottom"/>
    </xf>
    <xf borderId="18" fillId="5" fontId="11" numFmtId="0" xfId="0" applyAlignment="1" applyBorder="1" applyFont="1">
      <alignment horizontal="center" shrinkToFit="0" vertical="center" wrapText="1"/>
    </xf>
    <xf borderId="18" fillId="5" fontId="5" numFmtId="0" xfId="0" applyAlignment="1" applyBorder="1" applyFont="1">
      <alignment horizontal="center" shrinkToFit="0" vertical="center" wrapText="1"/>
    </xf>
    <xf borderId="19" fillId="0" fontId="0" numFmtId="0" xfId="0" applyAlignment="1" applyBorder="1" applyFont="1">
      <alignment horizontal="center" vertical="bottom"/>
    </xf>
    <xf borderId="20" fillId="0" fontId="0" numFmtId="0" xfId="0" applyAlignment="1" applyBorder="1" applyFont="1">
      <alignment horizontal="center" vertical="bottom"/>
    </xf>
    <xf borderId="20" fillId="0" fontId="7" numFmtId="0" xfId="0" applyAlignment="1" applyBorder="1" applyFont="1">
      <alignment horizontal="center" vertical="bottom"/>
    </xf>
    <xf borderId="21" fillId="0" fontId="0" numFmtId="0" xfId="0" applyAlignment="1" applyBorder="1" applyFont="1">
      <alignment horizontal="center" vertical="bottom"/>
    </xf>
    <xf borderId="0" fillId="0" fontId="7" numFmtId="0" xfId="0" applyAlignment="1" applyFont="1">
      <alignment horizontal="center" vertical="bottom"/>
    </xf>
    <xf borderId="22" fillId="0" fontId="0" numFmtId="0" xfId="0" applyAlignment="1" applyBorder="1" applyFont="1">
      <alignment horizontal="center" vertical="bottom"/>
    </xf>
    <xf borderId="23" fillId="0" fontId="0" numFmtId="0" xfId="0" applyAlignment="1" applyBorder="1" applyFont="1">
      <alignment horizontal="center" vertical="bottom"/>
    </xf>
    <xf borderId="23" fillId="0" fontId="7" numFmtId="0" xfId="0" applyAlignment="1" applyBorder="1" applyFont="1">
      <alignment horizontal="center" vertical="bottom"/>
    </xf>
    <xf borderId="1" fillId="3" fontId="6" numFmtId="49" xfId="0" applyAlignment="1" applyBorder="1" applyFont="1" applyNumberFormat="1">
      <alignment horizontal="left" shrinkToFit="0" vertical="center" wrapText="1"/>
    </xf>
    <xf borderId="24" fillId="0" fontId="0" numFmtId="0" xfId="0" applyAlignment="1" applyBorder="1" applyFont="1">
      <alignment horizontal="center" vertical="bottom"/>
    </xf>
    <xf borderId="25" fillId="0" fontId="0" numFmtId="0" xfId="0" applyAlignment="1" applyBorder="1" applyFont="1">
      <alignment horizontal="center" vertical="bottom"/>
    </xf>
    <xf borderId="26" fillId="3" fontId="0" numFmtId="9" xfId="0" applyAlignment="1" applyBorder="1" applyFont="1" applyNumberFormat="1">
      <alignment horizontal="center" vertical="center"/>
    </xf>
    <xf borderId="27" fillId="0" fontId="0" numFmtId="0" xfId="0" applyAlignment="1" applyBorder="1" applyFont="1">
      <alignment horizontal="center" vertical="bottom"/>
    </xf>
    <xf borderId="10" fillId="0" fontId="12" numFmtId="49" xfId="0" applyAlignment="1" applyBorder="1" applyFont="1" applyNumberFormat="1">
      <alignment horizontal="center" shrinkToFit="0" vertical="center" wrapText="1"/>
    </xf>
    <xf borderId="28" fillId="0" fontId="3" numFmtId="0" xfId="0" applyAlignment="1" applyBorder="1" applyFont="1">
      <alignment horizontal="center"/>
    </xf>
    <xf borderId="0" fillId="0" fontId="0" numFmtId="0" xfId="0" applyAlignment="1" applyFont="1">
      <alignment horizontal="center" vertical="center"/>
    </xf>
    <xf borderId="29" fillId="0" fontId="13" numFmtId="49" xfId="0" applyAlignment="1" applyBorder="1" applyFont="1" applyNumberFormat="1">
      <alignment horizontal="center" vertical="center"/>
    </xf>
    <xf borderId="30" fillId="2" fontId="13" numFmtId="49" xfId="0" applyAlignment="1" applyBorder="1" applyFont="1" applyNumberFormat="1">
      <alignment horizontal="center" vertical="center"/>
    </xf>
    <xf borderId="6" fillId="2" fontId="13" numFmtId="49" xfId="0" applyAlignment="1" applyBorder="1" applyFont="1" applyNumberFormat="1">
      <alignment horizontal="center" shrinkToFit="0" vertical="center" wrapText="1"/>
    </xf>
    <xf borderId="6" fillId="2" fontId="13" numFmtId="49" xfId="0" applyAlignment="1" applyBorder="1" applyFont="1" applyNumberFormat="1">
      <alignment horizontal="center" vertical="center"/>
    </xf>
    <xf borderId="30" fillId="3" fontId="6" numFmtId="49" xfId="0" applyAlignment="1" applyBorder="1" applyFont="1" applyNumberFormat="1">
      <alignment horizontal="left" vertical="center"/>
    </xf>
    <xf borderId="6" fillId="3" fontId="6" numFmtId="9" xfId="0" applyAlignment="1" applyBorder="1" applyFont="1" applyNumberFormat="1">
      <alignment horizontal="left" vertical="center"/>
    </xf>
    <xf borderId="31" fillId="6" fontId="14" numFmtId="49" xfId="0" applyAlignment="1" applyBorder="1" applyFill="1" applyFont="1" applyNumberFormat="1">
      <alignment horizontal="center" vertical="center"/>
    </xf>
    <xf borderId="32" fillId="0" fontId="3" numFmtId="0" xfId="0" applyAlignment="1" applyBorder="1" applyFont="1">
      <alignment horizontal="center"/>
    </xf>
    <xf borderId="33" fillId="6" fontId="14" numFmtId="49" xfId="0" applyAlignment="1" applyBorder="1" applyFont="1" applyNumberFormat="1">
      <alignment horizontal="center" vertical="center"/>
    </xf>
    <xf borderId="34" fillId="0" fontId="3" numFmtId="0" xfId="0" applyAlignment="1" applyBorder="1" applyFont="1">
      <alignment horizontal="center"/>
    </xf>
    <xf borderId="35" fillId="7" fontId="14" numFmtId="49" xfId="0" applyAlignment="1" applyBorder="1" applyFill="1" applyFont="1" applyNumberFormat="1">
      <alignment horizontal="center" vertical="center"/>
    </xf>
    <xf borderId="6" fillId="7" fontId="14" numFmtId="49" xfId="0" applyAlignment="1" applyBorder="1" applyFont="1" applyNumberFormat="1">
      <alignment horizontal="center" vertical="center"/>
    </xf>
    <xf borderId="6" fillId="7" fontId="14" numFmtId="49" xfId="0" applyAlignment="1" applyBorder="1" applyFont="1" applyNumberFormat="1">
      <alignment horizontal="center" shrinkToFit="0" vertical="center" wrapText="1"/>
    </xf>
    <xf borderId="36" fillId="7" fontId="14" numFmtId="49" xfId="0" applyAlignment="1" applyBorder="1" applyFont="1" applyNumberFormat="1">
      <alignment horizontal="center" vertical="center"/>
    </xf>
    <xf borderId="35" fillId="8" fontId="15" numFmtId="0" xfId="0" applyAlignment="1" applyBorder="1" applyFill="1" applyFont="1">
      <alignment horizontal="center" vertical="center"/>
    </xf>
    <xf borderId="6" fillId="8" fontId="15" numFmtId="49" xfId="0" applyAlignment="1" applyBorder="1" applyFont="1" applyNumberFormat="1">
      <alignment horizontal="center" vertical="center"/>
    </xf>
    <xf borderId="1" fillId="8" fontId="15" numFmtId="49" xfId="0" applyAlignment="1" applyBorder="1" applyFont="1" applyNumberFormat="1">
      <alignment horizontal="left" vertical="center"/>
    </xf>
    <xf borderId="37" fillId="0" fontId="3" numFmtId="0" xfId="0" applyAlignment="1" applyBorder="1" applyFont="1">
      <alignment horizontal="center"/>
    </xf>
    <xf borderId="35" fillId="9" fontId="0" numFmtId="0" xfId="0" applyAlignment="1" applyBorder="1" applyFill="1" applyFont="1">
      <alignment horizontal="center" vertical="center"/>
    </xf>
    <xf borderId="6" fillId="9" fontId="16" numFmtId="49" xfId="0" applyAlignment="1" applyBorder="1" applyFont="1" applyNumberFormat="1">
      <alignment horizontal="center" vertical="center"/>
    </xf>
    <xf borderId="1" fillId="9" fontId="16" numFmtId="49" xfId="0" applyAlignment="1" applyBorder="1" applyFont="1" applyNumberFormat="1">
      <alignment horizontal="left" vertical="center"/>
    </xf>
    <xf borderId="35" fillId="3" fontId="0" numFmtId="0" xfId="0" applyAlignment="1" applyBorder="1" applyFont="1">
      <alignment horizontal="center" vertical="center"/>
    </xf>
    <xf borderId="6" fillId="3" fontId="6" numFmtId="0" xfId="0" applyAlignment="1" applyBorder="1" applyFont="1">
      <alignment horizontal="left" vertical="center"/>
    </xf>
    <xf borderId="36" fillId="3" fontId="0" numFmtId="9" xfId="0" applyAlignment="1" applyBorder="1" applyFont="1" applyNumberFormat="1">
      <alignment horizontal="center" vertical="center"/>
    </xf>
    <xf borderId="35" fillId="8" fontId="17" numFmtId="0" xfId="0" applyAlignment="1" applyBorder="1" applyFont="1">
      <alignment horizontal="center" vertical="center"/>
    </xf>
    <xf borderId="1" fillId="8" fontId="15" numFmtId="49" xfId="0" applyAlignment="1" applyBorder="1" applyFont="1" applyNumberFormat="1">
      <alignment horizontal="left" shrinkToFit="0" vertical="center" wrapText="1"/>
    </xf>
    <xf borderId="35" fillId="9" fontId="17" numFmtId="0" xfId="0" applyAlignment="1" applyBorder="1" applyFont="1">
      <alignment horizontal="center" vertical="center"/>
    </xf>
    <xf borderId="6" fillId="3" fontId="0" numFmtId="0" xfId="0" applyAlignment="1" applyBorder="1" applyFont="1">
      <alignment horizontal="center" vertical="center"/>
    </xf>
    <xf borderId="1" fillId="9" fontId="16" numFmtId="49" xfId="0" applyAlignment="1" applyBorder="1" applyFont="1" applyNumberFormat="1">
      <alignment horizontal="left" shrinkToFit="0" vertical="center" wrapText="1"/>
    </xf>
    <xf borderId="35" fillId="9" fontId="16" numFmtId="0" xfId="0" applyAlignment="1" applyBorder="1" applyFont="1">
      <alignment horizontal="center" vertical="center"/>
    </xf>
    <xf borderId="6" fillId="3" fontId="0" numFmtId="0" xfId="0" applyAlignment="1" applyBorder="1" applyFont="1">
      <alignment horizontal="center" shrinkToFit="0" vertical="center" wrapText="1"/>
    </xf>
    <xf borderId="36" fillId="3" fontId="0" numFmtId="9" xfId="0" applyAlignment="1" applyBorder="1" applyFont="1" applyNumberFormat="1">
      <alignment horizontal="center" shrinkToFit="0" vertical="center" wrapText="1"/>
    </xf>
    <xf borderId="6" fillId="8" fontId="17" numFmtId="49" xfId="0" applyAlignment="1" applyBorder="1" applyFont="1" applyNumberFormat="1">
      <alignment horizontal="center" vertical="center"/>
    </xf>
    <xf borderId="1" fillId="8" fontId="17" numFmtId="49" xfId="0" applyAlignment="1" applyBorder="1" applyFont="1" applyNumberFormat="1">
      <alignment horizontal="left" shrinkToFit="0" vertical="center" wrapText="1"/>
    </xf>
    <xf borderId="38" fillId="3" fontId="6" numFmtId="49" xfId="0" applyAlignment="1" applyBorder="1" applyFont="1" applyNumberFormat="1">
      <alignment horizontal="left" vertical="center"/>
    </xf>
    <xf borderId="38" fillId="3" fontId="6" numFmtId="49" xfId="0" applyAlignment="1" applyBorder="1" applyFont="1" applyNumberFormat="1">
      <alignment horizontal="left" shrinkToFit="0" vertical="center" wrapText="1"/>
    </xf>
    <xf borderId="38" fillId="3" fontId="0" numFmtId="0" xfId="0" applyAlignment="1" applyBorder="1" applyFont="1">
      <alignment horizontal="center" vertical="center"/>
    </xf>
    <xf borderId="39" fillId="3" fontId="0" numFmtId="9" xfId="0" applyAlignment="1" applyBorder="1" applyFont="1" applyNumberFormat="1">
      <alignment horizontal="center" vertical="center"/>
    </xf>
    <xf borderId="40" fillId="3" fontId="0" numFmtId="49" xfId="0" applyAlignment="1" applyBorder="1" applyFont="1" applyNumberFormat="1">
      <alignment horizontal="center" vertical="bottom"/>
    </xf>
    <xf borderId="40" fillId="0" fontId="0" numFmtId="0" xfId="0" applyAlignment="1" applyBorder="1" applyFont="1">
      <alignment horizontal="center" vertical="bottom"/>
    </xf>
    <xf borderId="40" fillId="3" fontId="0" numFmtId="9" xfId="0" applyAlignment="1" applyBorder="1" applyFont="1" applyNumberFormat="1">
      <alignment horizontal="center" vertical="bottom"/>
    </xf>
  </cellXfs>
  <cellStyles count="1">
    <cellStyle xfId="0" name="Normal" builtinId="0"/>
  </cellStyles>
  <dxfs count="4">
    <dxf>
      <font>
        <color rgb="FFFFFFFF"/>
      </font>
      <fill>
        <patternFill patternType="solid">
          <fgColor rgb="FF385623"/>
          <bgColor rgb="FF385623"/>
        </patternFill>
      </fill>
      <border/>
    </dxf>
    <dxf>
      <font/>
      <fill>
        <patternFill patternType="solid">
          <fgColor rgb="FFFF0000"/>
          <bgColor rgb="FFFF0000"/>
        </patternFill>
      </fill>
      <border/>
    </dxf>
    <dxf>
      <font/>
      <fill>
        <patternFill patternType="solid">
          <fgColor rgb="FFFFC000"/>
          <bgColor rgb="FFFFC000"/>
        </patternFill>
      </fill>
      <border/>
    </dxf>
    <dxf>
      <font>
        <color rgb="FFFFFFFF"/>
      </font>
      <fill>
        <patternFill patternType="solid">
          <fgColor rgb="FF548135"/>
          <bgColor rgb="FF548135"/>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2" Type="http://schemas.openxmlformats.org/officeDocument/2006/relationships/sharedStrings" Target="sharedStrings.xml"/><Relationship Id="rId1" Type="http://schemas.openxmlformats.org/officeDocument/2006/relationships/styles" Target="styles.xml"/><Relationship Id="rId6" Type="http://schemas.openxmlformats.org/officeDocument/2006/relationships/worksheet" Target="worksheets/sheet4.xml"/><Relationship Id="rId11" Type="http://schemas.openxmlformats.org/officeDocument/2006/relationships/customXml" Target="../customXml/item3.xml"/><Relationship Id="rId5" Type="http://schemas.openxmlformats.org/officeDocument/2006/relationships/worksheet" Target="worksheets/sheet3.xml"/><Relationship Id="rId10" Type="http://schemas.openxmlformats.org/officeDocument/2006/relationships/customXml" Target="../customXml/item2.xml"/><Relationship Id="rId4" Type="http://schemas.openxmlformats.org/officeDocument/2006/relationships/worksheet" Target="worksheets/sheet2.xml"/><Relationship Id="rId9" Type="http://schemas.openxmlformats.org/officeDocument/2006/relationships/customXml" Target="../customXml/item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t>Status de conformité - par section</a:t>
            </a:r>
          </a:p>
        </c:rich>
      </c:tx>
      <c:overlay val="0"/>
    </c:title>
    <c:plotArea>
      <c:layout>
        <c:manualLayout>
          <c:xMode val="edge"/>
          <c:yMode val="edge"/>
          <c:x val="0.0256946"/>
          <c:y val="0.104307"/>
          <c:w val="0.969305"/>
          <c:h val="0.82813"/>
        </c:manualLayout>
      </c:layout>
      <c:barChart>
        <c:barDir val="col"/>
        <c:grouping val="clustered"/>
        <c:ser>
          <c:idx val="0"/>
          <c:order val="0"/>
          <c:tx>
            <c:strRef>
              <c:f>'Compliance per section'!$C$2</c:f>
            </c:strRef>
          </c:tx>
          <c:spPr>
            <a:solidFill>
              <a:srgbClr val="5B9BD5"/>
            </a:solidFill>
          </c:spPr>
          <c:cat>
            <c:strRef>
              <c:f>'Compliance per section'!$A$3:$A$16</c:f>
            </c:strRef>
          </c:cat>
          <c:val>
            <c:numRef>
              <c:f>'Compliance per section'!$C$3:$C$16</c:f>
            </c:numRef>
          </c:val>
        </c:ser>
        <c:axId val="1120384740"/>
        <c:axId val="1140066933"/>
      </c:barChart>
      <c:catAx>
        <c:axId val="1120384740"/>
        <c:scaling>
          <c:orientation val="minMax"/>
        </c:scaling>
        <c:delete val="0"/>
        <c:axPos val="b"/>
        <c:txPr>
          <a:bodyPr rot="0"/>
          <a:lstStyle/>
          <a:p>
            <a:pPr lvl="0">
              <a:defRPr b="0" i="0" sz="900">
                <a:solidFill>
                  <a:srgbClr val="595959"/>
                </a:solidFill>
                <a:latin typeface="Calibri"/>
              </a:defRPr>
            </a:pPr>
          </a:p>
        </c:txPr>
        <c:crossAx val="1140066933"/>
      </c:catAx>
      <c:valAx>
        <c:axId val="1140066933"/>
        <c:scaling>
          <c:orientation val="minMax"/>
          <c:max val="1.0"/>
        </c:scaling>
        <c:delete val="0"/>
        <c:axPos val="l"/>
        <c:majorGridlines>
          <c:spPr>
            <a:ln>
              <a:solidFill>
                <a:srgbClr val="D9D9D9"/>
              </a:solidFill>
            </a:ln>
          </c:spPr>
        </c:majorGridlines>
        <c:numFmt formatCode="General" sourceLinked="1"/>
        <c:tickLblPos val="nextTo"/>
        <c:spPr>
          <a:ln w="47625">
            <a:noFill/>
          </a:ln>
        </c:spPr>
        <c:txPr>
          <a:bodyPr/>
          <a:lstStyle/>
          <a:p>
            <a:pPr lvl="0">
              <a:defRPr b="0" i="0" sz="900">
                <a:solidFill>
                  <a:srgbClr val="595959"/>
                </a:solidFill>
                <a:latin typeface="Calibri"/>
              </a:defRPr>
            </a:pPr>
          </a:p>
        </c:txPr>
        <c:crossAx val="1120384740"/>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595959"/>
                </a:solidFill>
                <a:latin typeface="Calibri"/>
              </a:defRPr>
            </a:pPr>
            <a:r>
              <a:t>Status de conformité - par contrôle</a:t>
            </a:r>
          </a:p>
        </c:rich>
      </c:tx>
      <c:overlay val="0"/>
    </c:title>
    <c:plotArea>
      <c:layout>
        <c:manualLayout>
          <c:xMode val="edge"/>
          <c:yMode val="edge"/>
          <c:x val="0.0208984"/>
          <c:y val="0.0565965"/>
          <c:w val="0.96914"/>
          <c:h val="0.432153"/>
        </c:manualLayout>
      </c:layout>
      <c:areaChart>
        <c:ser>
          <c:idx val="0"/>
          <c:order val="0"/>
          <c:tx>
            <c:strRef>
              <c:f>'Compliance per control'!$C$2</c:f>
            </c:strRef>
          </c:tx>
          <c:spPr>
            <a:solidFill>
              <a:srgbClr val="5B9BD5">
                <a:alpha val="30000"/>
              </a:srgbClr>
            </a:solidFill>
            <a:ln cmpd="sng" w="9525">
              <a:solidFill>
                <a:srgbClr val="5B9BD5"/>
              </a:solidFill>
            </a:ln>
          </c:spPr>
          <c:val>
            <c:numRef>
              <c:f>'Compliance per control'!$C$3:$C$37</c:f>
            </c:numRef>
          </c:val>
        </c:ser>
        <c:axId val="733918134"/>
        <c:axId val="1895995226"/>
      </c:areaChart>
      <c:catAx>
        <c:axId val="733918134"/>
        <c:scaling>
          <c:orientation val="minMax"/>
        </c:scaling>
        <c:delete val="0"/>
        <c:axPos val="b"/>
        <c:txPr>
          <a:bodyPr rot="-2700000"/>
          <a:lstStyle/>
          <a:p>
            <a:pPr lvl="0">
              <a:defRPr b="0" i="0" sz="1000">
                <a:solidFill>
                  <a:srgbClr val="595959"/>
                </a:solidFill>
                <a:latin typeface="Calibri"/>
              </a:defRPr>
            </a:pPr>
          </a:p>
        </c:txPr>
        <c:crossAx val="1895995226"/>
      </c:catAx>
      <c:valAx>
        <c:axId val="1895995226"/>
        <c:scaling>
          <c:orientation val="minMax"/>
          <c:max val="1.0"/>
        </c:scaling>
        <c:delete val="0"/>
        <c:axPos val="l"/>
        <c:majorGridlines>
          <c:spPr>
            <a:ln>
              <a:solidFill>
                <a:srgbClr val="D9D9D9"/>
              </a:solidFill>
            </a:ln>
          </c:spPr>
        </c:majorGridlines>
        <c:numFmt formatCode="General" sourceLinked="1"/>
        <c:tickLblPos val="nextTo"/>
        <c:spPr>
          <a:ln w="47625">
            <a:noFill/>
          </a:ln>
        </c:spPr>
        <c:txPr>
          <a:bodyPr/>
          <a:lstStyle/>
          <a:p>
            <a:pPr lvl="0">
              <a:defRPr b="0" i="0" sz="900">
                <a:solidFill>
                  <a:srgbClr val="595959"/>
                </a:solidFill>
                <a:latin typeface="Calibri"/>
              </a:defRPr>
            </a:pPr>
          </a:p>
        </c:txPr>
        <c:crossAx val="733918134"/>
      </c:valAx>
      <c:spPr>
        <a:solidFill>
          <a:srgbClr val="FFFFFF"/>
        </a:solidFill>
      </c:spPr>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0</xdr:col>
      <xdr:colOff>114300</xdr:colOff>
      <xdr:row>0</xdr:row>
      <xdr:rowOff>76200</xdr:rowOff>
    </xdr:from>
    <xdr:ext cx="2600325" cy="1543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0</xdr:col>
      <xdr:colOff>361950</xdr:colOff>
      <xdr:row>1</xdr:row>
      <xdr:rowOff>219075</xdr:rowOff>
    </xdr:from>
    <xdr:ext cx="14258925" cy="30670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15</xdr:row>
      <xdr:rowOff>47625</xdr:rowOff>
    </xdr:from>
    <xdr:ext cx="32184975" cy="64103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114300</xdr:colOff>
      <xdr:row>0</xdr:row>
      <xdr:rowOff>76200</xdr:rowOff>
    </xdr:from>
    <xdr:ext cx="2600325" cy="15430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0</xdr:col>
      <xdr:colOff>114300</xdr:colOff>
      <xdr:row>0</xdr:row>
      <xdr:rowOff>76200</xdr:rowOff>
    </xdr:from>
    <xdr:ext cx="1905000" cy="1133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0</xdr:col>
      <xdr:colOff>114300</xdr:colOff>
      <xdr:row>0</xdr:row>
      <xdr:rowOff>76200</xdr:rowOff>
    </xdr:from>
    <xdr:ext cx="1762125" cy="104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1" width="25.82"/>
    <col customWidth="1" min="2" max="2" width="1.45"/>
    <col customWidth="1" min="3" max="3" width="93.91"/>
    <col customWidth="1" min="4" max="26" width="5.27"/>
  </cols>
  <sheetData>
    <row r="1" ht="138.0" customHeight="1">
      <c r="A1" s="1" t="s">
        <v>0</v>
      </c>
      <c r="B1" s="3"/>
      <c r="C1" s="4"/>
      <c r="D1" s="7"/>
      <c r="E1" s="7"/>
      <c r="F1" s="7"/>
      <c r="G1" s="7"/>
      <c r="H1" s="7"/>
      <c r="I1" s="7"/>
      <c r="J1" s="7"/>
      <c r="K1" s="7"/>
      <c r="L1" s="7"/>
      <c r="M1" s="7"/>
      <c r="N1" s="7"/>
      <c r="O1" s="7"/>
      <c r="P1" s="7"/>
      <c r="Q1" s="7"/>
      <c r="R1" s="7"/>
      <c r="S1" s="7"/>
      <c r="T1" s="7"/>
      <c r="U1" s="7"/>
      <c r="V1" s="7"/>
      <c r="W1" s="7"/>
      <c r="X1" s="7"/>
      <c r="Y1" s="7"/>
      <c r="Z1" s="7"/>
    </row>
    <row r="2" ht="17.25" customHeight="1">
      <c r="A2" s="12"/>
      <c r="B2" s="14"/>
      <c r="C2" s="15"/>
      <c r="D2" s="7"/>
      <c r="E2" s="7"/>
      <c r="F2" s="7"/>
      <c r="G2" s="7"/>
      <c r="H2" s="7"/>
      <c r="I2" s="7"/>
      <c r="J2" s="7"/>
      <c r="K2" s="7"/>
      <c r="L2" s="7"/>
      <c r="M2" s="7"/>
      <c r="N2" s="7"/>
      <c r="O2" s="7"/>
      <c r="P2" s="7"/>
      <c r="Q2" s="7"/>
      <c r="R2" s="7"/>
      <c r="S2" s="7"/>
      <c r="T2" s="7"/>
      <c r="U2" s="7"/>
      <c r="V2" s="7"/>
      <c r="W2" s="7"/>
      <c r="X2" s="7"/>
      <c r="Y2" s="7"/>
      <c r="Z2" s="7"/>
    </row>
    <row r="3" ht="65.25" customHeight="1">
      <c r="A3" s="17" t="s">
        <v>7</v>
      </c>
      <c r="B3" s="18"/>
      <c r="C3" s="19"/>
      <c r="D3" s="7"/>
      <c r="E3" s="7"/>
      <c r="F3" s="7"/>
      <c r="G3" s="7"/>
      <c r="H3" s="7"/>
      <c r="I3" s="7"/>
      <c r="J3" s="7"/>
      <c r="K3" s="7"/>
      <c r="L3" s="7"/>
      <c r="M3" s="7"/>
      <c r="N3" s="7"/>
      <c r="O3" s="7"/>
      <c r="P3" s="7"/>
      <c r="Q3" s="7"/>
      <c r="R3" s="7"/>
      <c r="S3" s="7"/>
      <c r="T3" s="7"/>
      <c r="U3" s="7"/>
      <c r="V3" s="7"/>
      <c r="W3" s="7"/>
      <c r="X3" s="7"/>
      <c r="Y3" s="7"/>
      <c r="Z3" s="7"/>
    </row>
    <row r="4" ht="18.0" customHeight="1">
      <c r="A4" s="20" t="s">
        <v>11</v>
      </c>
      <c r="B4" s="21"/>
      <c r="C4" s="22"/>
      <c r="D4" s="7"/>
      <c r="E4" s="7"/>
      <c r="F4" s="7"/>
      <c r="G4" s="7"/>
      <c r="H4" s="7"/>
      <c r="I4" s="7"/>
      <c r="J4" s="7"/>
      <c r="K4" s="7"/>
      <c r="L4" s="7"/>
      <c r="M4" s="7"/>
      <c r="N4" s="7"/>
      <c r="O4" s="7"/>
      <c r="P4" s="7"/>
      <c r="Q4" s="7"/>
      <c r="R4" s="7"/>
      <c r="S4" s="7"/>
      <c r="T4" s="7"/>
      <c r="U4" s="7"/>
      <c r="V4" s="7"/>
      <c r="W4" s="7"/>
      <c r="X4" s="7"/>
      <c r="Y4" s="7"/>
      <c r="Z4" s="7"/>
    </row>
    <row r="5" ht="30.0" customHeight="1">
      <c r="A5" s="23" t="s">
        <v>15</v>
      </c>
      <c r="B5" s="24"/>
      <c r="C5" s="25"/>
      <c r="D5" s="7"/>
      <c r="E5" s="7"/>
      <c r="F5" s="7"/>
      <c r="G5" s="7"/>
      <c r="H5" s="7"/>
      <c r="I5" s="7"/>
      <c r="J5" s="7"/>
      <c r="K5" s="7"/>
      <c r="L5" s="7"/>
      <c r="M5" s="7"/>
      <c r="N5" s="7"/>
      <c r="O5" s="7"/>
      <c r="P5" s="7"/>
      <c r="Q5" s="7"/>
      <c r="R5" s="7"/>
      <c r="S5" s="7"/>
      <c r="T5" s="7"/>
      <c r="U5" s="7"/>
      <c r="V5" s="7"/>
      <c r="W5" s="7"/>
      <c r="X5" s="7"/>
      <c r="Y5" s="7"/>
      <c r="Z5" s="7"/>
    </row>
    <row r="6" ht="45.0" customHeight="1">
      <c r="A6" s="26" t="s">
        <v>20</v>
      </c>
      <c r="B6" s="27"/>
      <c r="C6" s="26" t="s">
        <v>23</v>
      </c>
      <c r="D6" s="7"/>
      <c r="E6" s="7"/>
      <c r="F6" s="7"/>
      <c r="G6" s="7"/>
      <c r="H6" s="7"/>
      <c r="I6" s="7"/>
      <c r="J6" s="7"/>
      <c r="K6" s="7"/>
      <c r="L6" s="7"/>
      <c r="M6" s="7"/>
      <c r="N6" s="7"/>
      <c r="O6" s="7"/>
      <c r="P6" s="7"/>
      <c r="Q6" s="7"/>
      <c r="R6" s="7"/>
      <c r="S6" s="7"/>
      <c r="T6" s="7"/>
      <c r="U6" s="7"/>
      <c r="V6" s="7"/>
      <c r="W6" s="7"/>
      <c r="X6" s="7"/>
      <c r="Y6" s="7"/>
      <c r="Z6" s="7"/>
    </row>
    <row r="7" ht="60.0" customHeight="1">
      <c r="A7" s="26" t="s">
        <v>24</v>
      </c>
      <c r="B7" s="27"/>
      <c r="C7" s="26" t="s">
        <v>25</v>
      </c>
      <c r="D7" s="7"/>
      <c r="E7" s="7"/>
      <c r="F7" s="7"/>
      <c r="G7" s="7"/>
      <c r="H7" s="7"/>
      <c r="I7" s="7"/>
      <c r="J7" s="7"/>
      <c r="K7" s="7"/>
      <c r="L7" s="7"/>
      <c r="M7" s="7"/>
      <c r="N7" s="7"/>
      <c r="O7" s="7"/>
      <c r="P7" s="7"/>
      <c r="Q7" s="7"/>
      <c r="R7" s="7"/>
      <c r="S7" s="7"/>
      <c r="T7" s="7"/>
      <c r="U7" s="7"/>
      <c r="V7" s="7"/>
      <c r="W7" s="7"/>
      <c r="X7" s="7"/>
      <c r="Y7" s="7"/>
      <c r="Z7" s="7"/>
    </row>
    <row r="8" ht="105.0" customHeight="1">
      <c r="A8" s="26" t="s">
        <v>26</v>
      </c>
      <c r="B8" s="27"/>
      <c r="C8" s="26" t="s">
        <v>27</v>
      </c>
      <c r="D8" s="7"/>
      <c r="E8" s="7"/>
      <c r="F8" s="7"/>
      <c r="G8" s="7"/>
      <c r="H8" s="7"/>
      <c r="I8" s="7"/>
      <c r="J8" s="7"/>
      <c r="K8" s="7"/>
      <c r="L8" s="7"/>
      <c r="M8" s="7"/>
      <c r="N8" s="7"/>
      <c r="O8" s="7"/>
      <c r="P8" s="7"/>
      <c r="Q8" s="7"/>
      <c r="R8" s="7"/>
      <c r="S8" s="7"/>
      <c r="T8" s="7"/>
      <c r="U8" s="7"/>
      <c r="V8" s="7"/>
      <c r="W8" s="7"/>
      <c r="X8" s="7"/>
      <c r="Y8" s="7"/>
      <c r="Z8" s="7"/>
    </row>
    <row r="9" ht="32.25" customHeight="1">
      <c r="A9" s="29" t="s">
        <v>28</v>
      </c>
      <c r="B9" s="30"/>
      <c r="C9" s="31"/>
      <c r="D9" s="7"/>
      <c r="E9" s="7"/>
      <c r="F9" s="7"/>
      <c r="G9" s="7"/>
      <c r="H9" s="7"/>
      <c r="I9" s="7"/>
      <c r="J9" s="7"/>
      <c r="K9" s="7"/>
      <c r="L9" s="7"/>
      <c r="M9" s="7"/>
      <c r="N9" s="7"/>
      <c r="O9" s="7"/>
      <c r="P9" s="7"/>
      <c r="Q9" s="7"/>
      <c r="R9" s="7"/>
      <c r="S9" s="7"/>
      <c r="T9" s="7"/>
      <c r="U9" s="7"/>
      <c r="V9" s="7"/>
      <c r="W9" s="7"/>
      <c r="X9" s="7"/>
      <c r="Y9" s="7"/>
      <c r="Z9" s="7"/>
    </row>
    <row r="10" ht="75.0" customHeight="1">
      <c r="A10" s="26" t="s">
        <v>31</v>
      </c>
      <c r="B10" s="27"/>
      <c r="C10" s="26" t="s">
        <v>32</v>
      </c>
      <c r="D10" s="7"/>
      <c r="E10" s="7"/>
      <c r="F10" s="7"/>
      <c r="G10" s="7"/>
      <c r="H10" s="7"/>
      <c r="I10" s="7"/>
      <c r="J10" s="7"/>
      <c r="K10" s="7"/>
      <c r="L10" s="7"/>
      <c r="M10" s="7"/>
      <c r="N10" s="7"/>
      <c r="O10" s="7"/>
      <c r="P10" s="7"/>
      <c r="Q10" s="7"/>
      <c r="R10" s="7"/>
      <c r="S10" s="7"/>
      <c r="T10" s="7"/>
      <c r="U10" s="7"/>
      <c r="V10" s="7"/>
      <c r="W10" s="7"/>
      <c r="X10" s="7"/>
      <c r="Y10" s="7"/>
      <c r="Z10" s="7"/>
    </row>
    <row r="11" ht="45.0" customHeight="1">
      <c r="A11" s="26" t="s">
        <v>35</v>
      </c>
      <c r="B11" s="27"/>
      <c r="C11" s="26" t="s">
        <v>36</v>
      </c>
      <c r="D11" s="7"/>
      <c r="E11" s="7"/>
      <c r="F11" s="7"/>
      <c r="G11" s="7"/>
      <c r="H11" s="7"/>
      <c r="I11" s="7"/>
      <c r="J11" s="7"/>
      <c r="K11" s="7"/>
      <c r="L11" s="7"/>
      <c r="M11" s="7"/>
      <c r="N11" s="7"/>
      <c r="O11" s="7"/>
      <c r="P11" s="7"/>
      <c r="Q11" s="7"/>
      <c r="R11" s="7"/>
      <c r="S11" s="7"/>
      <c r="T11" s="7"/>
      <c r="U11" s="7"/>
      <c r="V11" s="7"/>
      <c r="W11" s="7"/>
      <c r="X11" s="7"/>
      <c r="Y11" s="7"/>
      <c r="Z11" s="7"/>
    </row>
    <row r="12" ht="32.25" customHeight="1">
      <c r="A12" s="29" t="s">
        <v>37</v>
      </c>
      <c r="B12" s="30"/>
      <c r="C12" s="31"/>
      <c r="D12" s="7"/>
      <c r="E12" s="7"/>
      <c r="F12" s="7"/>
      <c r="G12" s="7"/>
      <c r="H12" s="7"/>
      <c r="I12" s="7"/>
      <c r="J12" s="7"/>
      <c r="K12" s="7"/>
      <c r="L12" s="7"/>
      <c r="M12" s="7"/>
      <c r="N12" s="7"/>
      <c r="O12" s="7"/>
      <c r="P12" s="7"/>
      <c r="Q12" s="7"/>
      <c r="R12" s="7"/>
      <c r="S12" s="7"/>
      <c r="T12" s="7"/>
      <c r="U12" s="7"/>
      <c r="V12" s="7"/>
      <c r="W12" s="7"/>
      <c r="X12" s="7"/>
      <c r="Y12" s="7"/>
      <c r="Z12" s="7"/>
    </row>
    <row r="13" ht="30.0" customHeight="1">
      <c r="A13" s="26" t="s">
        <v>38</v>
      </c>
      <c r="B13" s="27"/>
      <c r="C13" s="26" t="s">
        <v>39</v>
      </c>
      <c r="D13" s="7"/>
      <c r="E13" s="7"/>
      <c r="F13" s="7"/>
      <c r="G13" s="7"/>
      <c r="H13" s="7"/>
      <c r="I13" s="7"/>
      <c r="J13" s="7"/>
      <c r="K13" s="7"/>
      <c r="L13" s="7"/>
      <c r="M13" s="7"/>
      <c r="N13" s="7"/>
      <c r="O13" s="7"/>
      <c r="P13" s="7"/>
      <c r="Q13" s="7"/>
      <c r="R13" s="7"/>
      <c r="S13" s="7"/>
      <c r="T13" s="7"/>
      <c r="U13" s="7"/>
      <c r="V13" s="7"/>
      <c r="W13" s="7"/>
      <c r="X13" s="7"/>
      <c r="Y13" s="7"/>
      <c r="Z13" s="7"/>
    </row>
    <row r="14" ht="60.0" customHeight="1">
      <c r="A14" s="26" t="s">
        <v>42</v>
      </c>
      <c r="B14" s="27"/>
      <c r="C14" s="26" t="s">
        <v>43</v>
      </c>
      <c r="D14" s="7"/>
      <c r="E14" s="7"/>
      <c r="F14" s="7"/>
      <c r="G14" s="7"/>
      <c r="H14" s="7"/>
      <c r="I14" s="7"/>
      <c r="J14" s="7"/>
      <c r="K14" s="7"/>
      <c r="L14" s="7"/>
      <c r="M14" s="7"/>
      <c r="N14" s="7"/>
      <c r="O14" s="7"/>
      <c r="P14" s="7"/>
      <c r="Q14" s="7"/>
      <c r="R14" s="7"/>
      <c r="S14" s="7"/>
      <c r="T14" s="7"/>
      <c r="U14" s="7"/>
      <c r="V14" s="7"/>
      <c r="W14" s="7"/>
      <c r="X14" s="7"/>
      <c r="Y14" s="7"/>
      <c r="Z14" s="7"/>
    </row>
    <row r="15" ht="58.5" customHeight="1">
      <c r="A15" s="26" t="s">
        <v>44</v>
      </c>
      <c r="B15" s="27"/>
      <c r="C15" s="26" t="s">
        <v>45</v>
      </c>
      <c r="D15" s="7"/>
      <c r="E15" s="7"/>
      <c r="F15" s="7"/>
      <c r="G15" s="7"/>
      <c r="H15" s="7"/>
      <c r="I15" s="7"/>
      <c r="J15" s="7"/>
      <c r="K15" s="7"/>
      <c r="L15" s="7"/>
      <c r="M15" s="7"/>
      <c r="N15" s="7"/>
      <c r="O15" s="7"/>
      <c r="P15" s="7"/>
      <c r="Q15" s="7"/>
      <c r="R15" s="7"/>
      <c r="S15" s="7"/>
      <c r="T15" s="7"/>
      <c r="U15" s="7"/>
      <c r="V15" s="7"/>
      <c r="W15" s="7"/>
      <c r="X15" s="7"/>
      <c r="Y15" s="7"/>
      <c r="Z15" s="7"/>
    </row>
    <row r="16" ht="34.5" customHeight="1">
      <c r="A16" s="29" t="s">
        <v>46</v>
      </c>
      <c r="B16" s="27"/>
      <c r="C16" s="32"/>
      <c r="D16" s="7"/>
      <c r="E16" s="7"/>
      <c r="F16" s="7"/>
      <c r="G16" s="7"/>
      <c r="H16" s="7"/>
      <c r="I16" s="7"/>
      <c r="J16" s="7"/>
      <c r="K16" s="7"/>
      <c r="L16" s="7"/>
      <c r="M16" s="7"/>
      <c r="N16" s="7"/>
      <c r="O16" s="7"/>
      <c r="P16" s="7"/>
      <c r="Q16" s="7"/>
      <c r="R16" s="7"/>
      <c r="S16" s="7"/>
      <c r="T16" s="7"/>
      <c r="U16" s="7"/>
      <c r="V16" s="7"/>
      <c r="W16" s="7"/>
      <c r="X16" s="7"/>
      <c r="Y16" s="7"/>
      <c r="Z16" s="7"/>
    </row>
    <row r="17" ht="44.25" customHeight="1">
      <c r="A17" s="26" t="s">
        <v>49</v>
      </c>
      <c r="B17" s="27"/>
      <c r="C17" s="26" t="s">
        <v>50</v>
      </c>
      <c r="D17" s="7"/>
      <c r="E17" s="7"/>
      <c r="F17" s="7"/>
      <c r="G17" s="7"/>
      <c r="H17" s="7"/>
      <c r="I17" s="7"/>
      <c r="J17" s="7"/>
      <c r="K17" s="7"/>
      <c r="L17" s="7"/>
      <c r="M17" s="7"/>
      <c r="N17" s="7"/>
      <c r="O17" s="7"/>
      <c r="P17" s="7"/>
      <c r="Q17" s="7"/>
      <c r="R17" s="7"/>
      <c r="S17" s="7"/>
      <c r="T17" s="7"/>
      <c r="U17" s="7"/>
      <c r="V17" s="7"/>
      <c r="W17" s="7"/>
      <c r="X17" s="7"/>
      <c r="Y17" s="7"/>
      <c r="Z17" s="7"/>
    </row>
    <row r="18" ht="19.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9.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9.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9.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9.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9.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9.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9.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9.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9.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9.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9.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9.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9.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9.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9.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9.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9.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9.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9.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9.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9.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9.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9.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9.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9.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9.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9.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9.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9.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9.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9.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9.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9.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9.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9.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9.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9.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9.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9.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9.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9.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9.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9.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9.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9.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9.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9.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9.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9.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9.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9.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9.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9.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9.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9.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9.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9.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9.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9.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9.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9.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9.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9.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9.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9.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9.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9.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9.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9.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9.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9.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9.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9.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9.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9.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9.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9.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9.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9.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9.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9.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9.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9.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9.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9.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9.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9.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9.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9.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9.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9.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9.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9.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9.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9.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9.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9.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9.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9.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9.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9.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9.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9.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9.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9.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9.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9.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9.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9.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9.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9.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9.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9.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9.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9.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9.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9.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9.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9.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9.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9.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9.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9.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9.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9.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9.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9.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9.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9.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9.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9.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9.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9.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9.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9.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9.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9.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9.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9.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9.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9.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4:C4"/>
    <mergeCell ref="A3:C3"/>
    <mergeCell ref="A2:C2"/>
    <mergeCell ref="A1:C1"/>
  </mergeCells>
  <printOptions/>
  <pageMargins bottom="0.75" footer="0.0" header="0.0" left="0.77" right="0.7"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3" width="8.18"/>
    <col customWidth="1" min="4" max="4" width="8.91"/>
    <col customWidth="1" min="5" max="5" width="8.18"/>
    <col customWidth="1" min="6" max="6" width="10.0"/>
    <col customWidth="1" min="7" max="8" width="8.18"/>
    <col customWidth="1" min="9" max="9" width="12.45"/>
    <col customWidth="1" min="10" max="12" width="8.18"/>
    <col customWidth="1" min="13" max="13" width="75.91"/>
    <col customWidth="1" min="14" max="37" width="5.27"/>
  </cols>
  <sheetData>
    <row r="1" ht="145.5" customHeight="1">
      <c r="A1" s="46" t="s">
        <v>58</v>
      </c>
      <c r="B1" s="14"/>
      <c r="C1" s="14"/>
      <c r="D1" s="14"/>
      <c r="E1" s="14"/>
      <c r="F1" s="14"/>
      <c r="G1" s="14"/>
      <c r="H1" s="14"/>
      <c r="I1" s="14"/>
      <c r="J1" s="14"/>
      <c r="K1" s="14"/>
      <c r="L1" s="14"/>
      <c r="M1" s="47"/>
      <c r="N1" s="7"/>
      <c r="O1" s="7"/>
      <c r="P1" s="7"/>
      <c r="Q1" s="7"/>
      <c r="R1" s="7"/>
      <c r="S1" s="7"/>
      <c r="T1" s="7"/>
      <c r="U1" s="7"/>
      <c r="V1" s="7"/>
      <c r="W1" s="7"/>
      <c r="X1" s="7"/>
      <c r="Y1" s="7"/>
      <c r="Z1" s="7"/>
      <c r="AA1" s="7"/>
      <c r="AB1" s="7"/>
      <c r="AC1" s="7"/>
      <c r="AD1" s="7"/>
      <c r="AE1" s="7"/>
      <c r="AF1" s="7"/>
      <c r="AG1" s="7"/>
      <c r="AH1" s="7"/>
      <c r="AI1" s="7"/>
      <c r="AJ1" s="7"/>
      <c r="AK1" s="7"/>
    </row>
    <row r="2" ht="21.75" customHeight="1">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row>
    <row r="3" ht="20.25" customHeight="1">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row>
    <row r="4" ht="20.25"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row>
    <row r="5" ht="20.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row>
    <row r="6" ht="20.25" customHeight="1">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row>
    <row r="7" ht="20.2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ht="20.2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row>
    <row r="9" ht="20.25" customHeight="1">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row>
    <row r="10" ht="20.2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row>
    <row r="11" ht="20.2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row>
    <row r="12" ht="20.25" customHeight="1">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row>
    <row r="13" ht="20.2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row>
    <row r="14" ht="20.2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row>
    <row r="15" ht="20.2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row>
    <row r="16" ht="20.2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row>
    <row r="17" ht="20.2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row>
    <row r="18" ht="20.2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row>
    <row r="19" ht="20.2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row>
    <row r="20" ht="20.2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row>
    <row r="21" ht="20.2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row>
    <row r="22" ht="20.2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row>
    <row r="23" ht="20.2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row>
    <row r="24" ht="20.2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row>
    <row r="25" ht="20.2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row>
    <row r="26" ht="312.75" customHeight="1">
      <c r="A26" s="48"/>
      <c r="B26" s="48"/>
      <c r="C26" s="48"/>
      <c r="D26" s="48"/>
      <c r="E26" s="48"/>
      <c r="F26" s="48"/>
      <c r="G26" s="48"/>
      <c r="H26" s="48"/>
      <c r="I26" s="48"/>
      <c r="J26" s="48"/>
      <c r="K26" s="48"/>
      <c r="L26" s="48"/>
      <c r="M26" s="48"/>
      <c r="N26" s="7"/>
      <c r="O26" s="7"/>
      <c r="P26" s="7"/>
      <c r="Q26" s="7"/>
      <c r="R26" s="7"/>
      <c r="S26" s="7"/>
      <c r="T26" s="7"/>
      <c r="U26" s="7"/>
      <c r="V26" s="7"/>
      <c r="W26" s="7"/>
      <c r="X26" s="7"/>
      <c r="Y26" s="7"/>
      <c r="Z26" s="7"/>
      <c r="AA26" s="7"/>
      <c r="AB26" s="7"/>
      <c r="AC26" s="7"/>
      <c r="AD26" s="7"/>
      <c r="AE26" s="7"/>
      <c r="AF26" s="7"/>
      <c r="AG26" s="7"/>
      <c r="AH26" s="7"/>
      <c r="AI26" s="7"/>
      <c r="AJ26" s="7"/>
      <c r="AK26" s="7"/>
    </row>
    <row r="27" ht="19.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row>
    <row r="28" ht="19.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row>
    <row r="29" ht="19.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row>
    <row r="30" ht="19.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row>
    <row r="31" ht="19.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row>
    <row r="32" ht="19.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row>
    <row r="33" ht="19.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row>
    <row r="34" ht="19.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row>
    <row r="35" ht="19.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row>
    <row r="36" ht="19.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row>
    <row r="37" ht="19.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row>
    <row r="38" ht="19.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row>
    <row r="39" ht="19.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row>
    <row r="40" ht="19.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row>
    <row r="41" ht="19.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row>
    <row r="42" ht="19.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row>
    <row r="43" ht="19.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row>
    <row r="44" ht="19.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row>
    <row r="45" ht="19.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row>
    <row r="46" ht="19.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row>
    <row r="47" ht="19.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row>
    <row r="48" ht="19.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row>
    <row r="49" ht="19.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row>
    <row r="50" ht="19.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row>
    <row r="51" ht="19.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row>
    <row r="52" ht="19.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row>
    <row r="53" ht="19.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row>
    <row r="54" ht="19.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row>
    <row r="55" ht="19.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row>
    <row r="56" ht="19.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row>
    <row r="57" ht="19.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row>
    <row r="58" ht="19.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row>
    <row r="59" ht="19.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row>
    <row r="60" ht="19.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row>
    <row r="61" ht="19.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row>
    <row r="62" ht="19.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row>
    <row r="63" ht="19.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row>
    <row r="64" ht="19.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row>
    <row r="65" ht="19.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row>
    <row r="66" ht="19.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row>
    <row r="67" ht="19.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row>
    <row r="68" ht="19.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row>
    <row r="69" ht="19.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row>
    <row r="70" ht="19.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row>
    <row r="71" ht="19.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row>
    <row r="72" ht="19.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row>
    <row r="73" ht="19.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row>
    <row r="74" ht="19.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row>
    <row r="75" ht="19.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row>
    <row r="76" ht="19.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row>
    <row r="77" ht="19.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row>
    <row r="78" ht="19.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row>
    <row r="79" ht="19.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row>
    <row r="80" ht="19.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row>
    <row r="81" ht="19.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row>
    <row r="82" ht="19.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row>
    <row r="83" ht="19.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row>
    <row r="84" ht="19.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row>
    <row r="85" ht="19.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row>
    <row r="86" ht="19.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row>
    <row r="87" ht="19.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row>
    <row r="88" ht="19.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row>
    <row r="89" ht="19.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row>
    <row r="90" ht="19.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row>
    <row r="91" ht="19.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row>
    <row r="92" ht="19.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row>
    <row r="93" ht="19.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row>
    <row r="94" ht="19.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row>
    <row r="95" ht="19.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row>
    <row r="96" ht="19.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row>
    <row r="97" ht="19.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row>
    <row r="98" ht="19.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row>
    <row r="99" ht="19.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row>
    <row r="100" ht="19.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row>
    <row r="101" ht="19.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row>
    <row r="102" ht="19.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row>
    <row r="103" ht="19.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row>
    <row r="104" ht="19.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row>
    <row r="105" ht="19.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row>
    <row r="106" ht="19.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row>
    <row r="107" ht="19.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row>
    <row r="108" ht="19.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row>
    <row r="109" ht="19.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row>
    <row r="110" ht="19.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row>
    <row r="111" ht="19.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row>
    <row r="112" ht="19.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row>
    <row r="113" ht="19.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row>
    <row r="114" ht="19.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row>
    <row r="115" ht="19.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row>
    <row r="116" ht="19.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row>
    <row r="117" ht="19.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row>
    <row r="118" ht="19.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row>
    <row r="119" ht="19.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row>
    <row r="120" ht="19.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row>
    <row r="121" ht="19.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row>
    <row r="122" ht="19.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row>
    <row r="123" ht="19.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row>
    <row r="124" ht="19.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row>
    <row r="125" ht="19.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row>
    <row r="126" ht="19.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row>
    <row r="127" ht="19.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row>
    <row r="128" ht="19.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row>
    <row r="129" ht="19.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row>
    <row r="130" ht="19.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row>
    <row r="131" ht="19.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row>
    <row r="132" ht="19.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row>
    <row r="133" ht="19.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row>
    <row r="134" ht="19.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row>
    <row r="135" ht="19.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row>
    <row r="136" ht="19.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row>
    <row r="137" ht="19.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row>
    <row r="138" ht="19.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row>
    <row r="139" ht="19.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row>
    <row r="140" ht="19.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row>
    <row r="141" ht="19.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row>
    <row r="142" ht="19.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row>
    <row r="143" ht="19.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row>
    <row r="144" ht="19.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row>
    <row r="145" ht="19.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row>
    <row r="146" ht="19.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row>
    <row r="147" ht="19.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row>
    <row r="148" ht="19.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row>
    <row r="149" ht="19.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row>
    <row r="150" ht="19.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row>
    <row r="151" ht="19.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row>
    <row r="152" ht="19.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row>
    <row r="153" ht="19.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row>
    <row r="154" ht="19.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row>
    <row r="155" ht="19.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row>
    <row r="156" ht="19.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row>
    <row r="157" ht="19.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row>
    <row r="158" ht="19.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row>
    <row r="159" ht="19.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row>
    <row r="160" ht="19.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row>
    <row r="161" ht="19.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row>
    <row r="162" ht="19.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row>
    <row r="163" ht="19.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row>
    <row r="164" ht="19.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row>
    <row r="165" ht="19.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row>
    <row r="166" ht="1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row>
    <row r="167" ht="1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row>
    <row r="168" ht="1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row>
    <row r="169" ht="1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row>
    <row r="170" ht="1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row>
    <row r="171" ht="1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row>
    <row r="172" ht="1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row>
    <row r="173" ht="1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row>
    <row r="174" ht="1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row>
    <row r="175" ht="1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row>
    <row r="176" ht="1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row>
    <row r="177" ht="1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row>
    <row r="178" ht="1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row>
    <row r="179" ht="1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row>
    <row r="180" ht="1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row>
    <row r="181" ht="1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row>
    <row r="182" ht="1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row>
    <row r="183" ht="1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row>
    <row r="184" ht="1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row>
    <row r="185" ht="1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row>
    <row r="186" ht="1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row>
    <row r="187" ht="1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row>
    <row r="188" ht="1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row>
    <row r="189" ht="1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row>
    <row r="190" ht="1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row>
    <row r="191" ht="1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row>
    <row r="192" ht="1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row>
    <row r="193" ht="1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row>
    <row r="194" ht="1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row>
    <row r="195" ht="1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row>
    <row r="196" ht="1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row>
    <row r="197" ht="1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row>
    <row r="198" ht="1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row>
    <row r="199" ht="1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row>
    <row r="200" ht="1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row>
    <row r="201" ht="1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row>
    <row r="202" ht="1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row>
    <row r="203" ht="1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row>
    <row r="204" ht="1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row>
    <row r="205" ht="1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row>
    <row r="206" ht="1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row>
    <row r="207" ht="1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row>
    <row r="208" ht="1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row>
    <row r="209" ht="1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row>
    <row r="210" ht="1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row>
    <row r="211" ht="1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row>
    <row r="212" ht="1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row>
    <row r="213" ht="1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row>
    <row r="214" ht="1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row>
    <row r="215" ht="1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row>
    <row r="216" ht="1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row>
    <row r="217" ht="1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row>
    <row r="218" ht="1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row>
    <row r="219" ht="1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row>
    <row r="220" ht="1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row>
    <row r="221" ht="1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row>
    <row r="222" ht="1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row>
    <row r="223" ht="1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row>
    <row r="224" ht="1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row>
    <row r="225" ht="1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row>
    <row r="226" ht="1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row>
    <row r="227" ht="1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row>
    <row r="228" ht="1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row>
    <row r="229" ht="1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row>
    <row r="230" ht="1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row>
    <row r="231" ht="1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row>
    <row r="232" ht="1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row>
    <row r="233" ht="1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row>
    <row r="234" ht="1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row>
    <row r="235" ht="1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row>
    <row r="236" ht="1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row>
    <row r="237" ht="1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row>
    <row r="238" ht="1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row>
    <row r="239" ht="1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row>
    <row r="240" ht="1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row>
    <row r="241" ht="1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row>
    <row r="242" ht="1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row>
    <row r="243" ht="1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row>
    <row r="244" ht="1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row>
    <row r="245" ht="1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row>
    <row r="246" ht="1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row>
    <row r="247" ht="1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row>
    <row r="248" ht="1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row>
    <row r="249" ht="1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row>
    <row r="250" ht="1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row>
    <row r="251" ht="1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row>
    <row r="252" ht="1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row>
    <row r="253" ht="1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row>
    <row r="254" ht="1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row>
    <row r="255" ht="1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row>
    <row r="256" ht="1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row>
    <row r="257" ht="1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row>
    <row r="258" ht="1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row>
    <row r="259" ht="1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row>
    <row r="260" ht="1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row>
    <row r="261" ht="1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row>
    <row r="262" ht="1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row>
    <row r="263" ht="1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row>
    <row r="264" ht="1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row>
    <row r="265" ht="1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row>
    <row r="266" ht="1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row>
    <row r="267" ht="1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row>
    <row r="268" ht="1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row>
    <row r="269" ht="1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row>
    <row r="270" ht="1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row>
    <row r="271" ht="1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row>
    <row r="272" ht="1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row>
    <row r="273" ht="1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row>
    <row r="274" ht="1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row>
    <row r="275" ht="1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row>
    <row r="276" ht="1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row>
    <row r="277" ht="1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row>
    <row r="278" ht="1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row>
    <row r="279" ht="1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row>
    <row r="280" ht="1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row>
    <row r="281" ht="1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row>
    <row r="282" ht="1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row>
    <row r="283" ht="1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row>
    <row r="284" ht="1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row>
    <row r="285" ht="1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row>
    <row r="286" ht="1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row>
    <row r="287" ht="1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row>
    <row r="288" ht="1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row>
    <row r="289" ht="1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row>
    <row r="290" ht="1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row>
    <row r="291" ht="1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row>
    <row r="292" ht="1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row>
    <row r="293" ht="1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row>
    <row r="294" ht="1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row>
    <row r="295" ht="1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row>
    <row r="296" ht="1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row>
    <row r="297" ht="1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row>
    <row r="298" ht="1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row>
    <row r="299" ht="1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row>
    <row r="300" ht="1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row>
    <row r="302" ht="1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row>
    <row r="303" ht="1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row>
    <row r="304" ht="1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row>
    <row r="305" ht="1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row>
    <row r="306" ht="1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row>
    <row r="307" ht="1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row>
    <row r="308" ht="1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row>
    <row r="309" ht="1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row>
    <row r="310" ht="1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row>
    <row r="311" ht="1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row>
    <row r="312" ht="1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row>
    <row r="313" ht="1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row>
    <row r="314" ht="1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row>
    <row r="315" ht="1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row>
    <row r="316" ht="1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row>
    <row r="317" ht="1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row>
    <row r="318" ht="1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row>
    <row r="319" ht="1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row>
    <row r="320" ht="1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row>
    <row r="321" ht="1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row>
    <row r="322" ht="1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row>
    <row r="323" ht="1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row>
    <row r="324" ht="1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row>
    <row r="325" ht="1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row>
    <row r="326" ht="1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row>
    <row r="327" ht="1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row>
    <row r="328" ht="1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row>
    <row r="329" ht="1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row>
    <row r="330" ht="1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row>
    <row r="331" ht="1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row>
    <row r="332" ht="1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row>
    <row r="333" ht="1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row>
    <row r="334" ht="1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row>
    <row r="335" ht="1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row>
    <row r="336" ht="1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row>
    <row r="337" ht="1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row>
    <row r="338" ht="1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row>
    <row r="339" ht="1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row>
    <row r="340" ht="1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row>
    <row r="341" ht="1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row>
    <row r="342" ht="1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row>
    <row r="343" ht="1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row>
    <row r="344" ht="1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row>
    <row r="345" ht="1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row>
    <row r="346" ht="1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row>
    <row r="347" ht="1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row>
    <row r="348" ht="1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row>
    <row r="349" ht="1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row>
    <row r="350" ht="1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row>
    <row r="351" ht="1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row>
    <row r="352" ht="1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row>
    <row r="353" ht="1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row>
    <row r="354" ht="1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row>
    <row r="355" ht="1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row>
    <row r="356" ht="1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row>
    <row r="357" ht="1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row>
    <row r="358" ht="1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row>
    <row r="359" ht="1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row>
    <row r="360" ht="1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row>
    <row r="361" ht="1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row>
    <row r="362" ht="1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row>
    <row r="363" ht="1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row>
    <row r="364" ht="1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row>
    <row r="365" ht="1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row>
    <row r="366" ht="1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row>
    <row r="367" ht="1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row>
    <row r="368" ht="1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row>
    <row r="369" ht="1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row>
    <row r="370" ht="1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row>
    <row r="371" ht="1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row>
    <row r="372" ht="1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row>
    <row r="373" ht="1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row>
    <row r="374" ht="1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row>
    <row r="375" ht="1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row>
    <row r="376" ht="1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row>
    <row r="377" ht="1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row>
    <row r="378" ht="1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row>
    <row r="379" ht="1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row>
    <row r="380" ht="1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row>
    <row r="381" ht="1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row>
    <row r="382" ht="1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row>
    <row r="383" ht="1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row>
    <row r="384" ht="1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row>
    <row r="385" ht="1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row>
    <row r="386" ht="1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row>
    <row r="387" ht="1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row>
    <row r="388" ht="1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row>
    <row r="389" ht="1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row>
    <row r="390" ht="1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row>
    <row r="391" ht="1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row>
    <row r="392" ht="1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row>
    <row r="393" ht="1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row>
    <row r="394" ht="1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row>
    <row r="395" ht="1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row>
    <row r="396" ht="1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row>
    <row r="397" ht="1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row>
    <row r="398" ht="1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row>
    <row r="399" ht="1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row>
    <row r="400" ht="1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row>
    <row r="401" ht="1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row>
    <row r="402" ht="1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row>
    <row r="403" ht="1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row>
    <row r="404" ht="1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row>
    <row r="405" ht="1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row>
    <row r="406" ht="1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row>
    <row r="407" ht="1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row>
    <row r="408" ht="1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row>
    <row r="409" ht="1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row>
    <row r="410" ht="1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row>
    <row r="411" ht="1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row>
    <row r="412" ht="1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row>
    <row r="413" ht="1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row>
    <row r="414" ht="1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row>
    <row r="415" ht="1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row>
    <row r="416" ht="1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row>
    <row r="417" ht="1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row>
    <row r="418" ht="1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row>
    <row r="419" ht="1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row>
    <row r="420" ht="1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row>
    <row r="421" ht="1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row>
    <row r="422" ht="1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row>
    <row r="423" ht="1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row>
    <row r="424" ht="1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row>
    <row r="425" ht="1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row>
    <row r="426" ht="1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row>
    <row r="427" ht="1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row>
    <row r="428" ht="1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row>
    <row r="429" ht="1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row>
    <row r="430" ht="1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row>
    <row r="431" ht="1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row>
    <row r="432" ht="1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row>
    <row r="433" ht="1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row>
    <row r="434" ht="1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row>
    <row r="435" ht="1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row>
    <row r="436" ht="1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row>
    <row r="437" ht="1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row>
    <row r="438" ht="1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row>
    <row r="439" ht="1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row>
    <row r="440" ht="1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row>
    <row r="441" ht="1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row>
    <row r="442" ht="1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row>
    <row r="443" ht="1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row>
    <row r="444" ht="1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row>
    <row r="445" ht="1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row>
    <row r="446" ht="1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row>
    <row r="447" ht="1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row>
    <row r="448" ht="1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row>
    <row r="449" ht="1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row>
    <row r="450" ht="1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row>
    <row r="451" ht="1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row>
    <row r="452" ht="1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row>
    <row r="453" ht="1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row>
    <row r="454" ht="1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row>
    <row r="455" ht="1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row>
    <row r="456" ht="1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row>
    <row r="457" ht="1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row>
    <row r="458" ht="1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row>
    <row r="459" ht="1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row>
    <row r="460" ht="1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row>
    <row r="461" ht="1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row>
    <row r="462" ht="1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row>
    <row r="463" ht="1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row>
    <row r="464" ht="1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row>
    <row r="465" ht="1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row>
    <row r="466" ht="1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row>
    <row r="467" ht="1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row>
    <row r="468" ht="1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row>
    <row r="469" ht="1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row>
    <row r="470" ht="1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row>
    <row r="471" ht="1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row>
    <row r="472" ht="1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row>
    <row r="473" ht="1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row>
    <row r="474" ht="1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row>
    <row r="475" ht="1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row>
    <row r="476" ht="1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row>
    <row r="477" ht="1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row>
    <row r="478" ht="1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row>
    <row r="479" ht="1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row>
    <row r="480" ht="1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row>
    <row r="481" ht="1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row>
    <row r="482" ht="1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row>
    <row r="483" ht="1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row>
    <row r="484" ht="1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row>
    <row r="485" ht="1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row>
    <row r="486" ht="1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row>
    <row r="487" ht="1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row>
    <row r="488" ht="1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row>
    <row r="489" ht="1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row>
    <row r="490" ht="1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row>
    <row r="491" ht="1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row>
    <row r="492" ht="1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row>
    <row r="493" ht="1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row>
    <row r="494" ht="1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row>
    <row r="495" ht="1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row>
    <row r="496" ht="1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row>
    <row r="497" ht="1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row>
    <row r="498" ht="1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row>
    <row r="499" ht="1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row>
    <row r="500" ht="1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row>
    <row r="501" ht="1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row>
    <row r="502" ht="1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row>
    <row r="503" ht="1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row>
    <row r="504" ht="1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row>
    <row r="505" ht="1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row>
    <row r="506" ht="1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row>
    <row r="507" ht="1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row>
    <row r="508" ht="1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row>
    <row r="509" ht="1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row>
    <row r="510" ht="1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row>
    <row r="511" ht="1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row>
    <row r="512" ht="1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row>
    <row r="513" ht="1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row>
    <row r="514" ht="1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row>
    <row r="515" ht="1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row>
    <row r="516" ht="1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row>
    <row r="517" ht="1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row>
    <row r="518" ht="1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row>
    <row r="519" ht="1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row>
    <row r="520" ht="1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row>
    <row r="521" ht="1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row>
    <row r="522" ht="1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row>
    <row r="523" ht="1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row>
    <row r="524" ht="1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row>
    <row r="525" ht="1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row>
    <row r="526" ht="1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row>
    <row r="527" ht="1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row>
    <row r="528" ht="1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row>
    <row r="529" ht="1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row>
    <row r="530" ht="1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row>
    <row r="531" ht="1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row>
    <row r="532" ht="1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row>
    <row r="533" ht="1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row>
    <row r="534" ht="1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row>
    <row r="535" ht="1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row>
    <row r="536" ht="1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row>
    <row r="537" ht="1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row>
    <row r="538" ht="1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row>
    <row r="539" ht="1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row>
    <row r="540" ht="1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row>
    <row r="541" ht="1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row>
    <row r="542" ht="1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row>
    <row r="543" ht="1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row>
    <row r="544" ht="1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row>
    <row r="545" ht="1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row>
    <row r="546" ht="1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row>
    <row r="547" ht="1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row>
    <row r="548" ht="1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row>
    <row r="549" ht="1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row>
    <row r="550" ht="1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row>
    <row r="551" ht="1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row>
    <row r="552" ht="1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row>
    <row r="553" ht="1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row>
    <row r="554" ht="1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row>
    <row r="555" ht="1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row>
    <row r="556" ht="1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row>
    <row r="557" ht="1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row>
    <row r="558" ht="1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row>
    <row r="559" ht="1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row>
    <row r="560" ht="1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row>
    <row r="561" ht="1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row>
    <row r="562" ht="1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row>
    <row r="563" ht="1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row>
    <row r="564" ht="1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row>
    <row r="565" ht="1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row>
    <row r="566" ht="1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row>
    <row r="567" ht="1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row>
    <row r="568" ht="1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row>
    <row r="569" ht="1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row>
    <row r="570" ht="1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row>
    <row r="571" ht="1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row>
    <row r="572" ht="1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row>
    <row r="573" ht="1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row>
    <row r="574" ht="1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row>
    <row r="575" ht="1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row>
    <row r="576" ht="1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row>
    <row r="577" ht="1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row>
    <row r="578" ht="1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row>
    <row r="579" ht="1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row>
    <row r="580" ht="1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row>
    <row r="581" ht="1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row>
    <row r="582" ht="1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row>
    <row r="583" ht="1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row>
    <row r="584" ht="1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row>
    <row r="585" ht="1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row>
    <row r="586" ht="1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row>
    <row r="587" ht="1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row>
    <row r="588" ht="1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row>
    <row r="589" ht="1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row>
    <row r="590" ht="1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row>
    <row r="591" ht="1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row>
    <row r="592" ht="1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row>
    <row r="593" ht="1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row>
    <row r="594" ht="1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row>
    <row r="595" ht="1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row>
    <row r="596" ht="1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row>
    <row r="597" ht="1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row>
    <row r="598" ht="1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row>
    <row r="599" ht="1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row>
    <row r="600" ht="1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row>
    <row r="601" ht="1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row>
    <row r="602" ht="1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row>
    <row r="603" ht="1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row>
    <row r="604" ht="1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row>
    <row r="605" ht="1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row>
    <row r="606" ht="1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row>
    <row r="607" ht="1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row>
    <row r="608" ht="1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row>
    <row r="609" ht="1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row>
    <row r="610" ht="1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row>
    <row r="611" ht="1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row>
    <row r="612" ht="1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row>
    <row r="613" ht="1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row>
    <row r="614" ht="1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row>
    <row r="615" ht="1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row>
    <row r="616" ht="1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row>
    <row r="617" ht="1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row>
    <row r="618" ht="1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row>
    <row r="619" ht="1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row>
    <row r="620" ht="1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row>
    <row r="621" ht="1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row>
    <row r="622" ht="1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row>
    <row r="623" ht="1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row>
    <row r="624" ht="1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row>
    <row r="625" ht="1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row>
    <row r="626" ht="1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row>
    <row r="627" ht="1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row>
    <row r="628" ht="1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row>
    <row r="629" ht="1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row>
    <row r="630" ht="1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row>
    <row r="631" ht="1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row>
    <row r="632" ht="1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row>
    <row r="633" ht="1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row>
    <row r="634" ht="1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row>
    <row r="635" ht="1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row>
    <row r="636" ht="1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row>
    <row r="637" ht="1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row>
    <row r="638" ht="1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row>
    <row r="639" ht="1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row>
    <row r="640" ht="1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row>
    <row r="641" ht="1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row>
    <row r="642" ht="1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row>
    <row r="643" ht="1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row>
    <row r="644" ht="1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row>
    <row r="645" ht="1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row>
    <row r="646" ht="1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row>
    <row r="647" ht="1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row>
    <row r="648" ht="1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row>
    <row r="649" ht="1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row>
    <row r="650" ht="1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row>
    <row r="651" ht="1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row>
    <row r="652" ht="1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row>
    <row r="653" ht="1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row>
    <row r="654" ht="1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row>
    <row r="655" ht="1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row>
    <row r="656" ht="1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row>
    <row r="657" ht="1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row>
    <row r="658" ht="1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row>
    <row r="659" ht="1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row>
    <row r="660" ht="1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row>
    <row r="661" ht="1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row>
    <row r="662" ht="1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row>
    <row r="663" ht="1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row>
    <row r="664" ht="1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row>
    <row r="665" ht="1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row>
    <row r="666" ht="1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row>
    <row r="667" ht="1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row>
    <row r="668" ht="1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row>
    <row r="669" ht="1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row>
    <row r="670" ht="1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row>
    <row r="671" ht="1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row>
    <row r="672" ht="1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row>
    <row r="673" ht="1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row>
    <row r="674" ht="1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row>
    <row r="675" ht="1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row>
    <row r="676" ht="1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row>
    <row r="677" ht="1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row>
    <row r="678" ht="1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row>
    <row r="679" ht="1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row>
    <row r="680" ht="1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row>
    <row r="681" ht="1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row>
    <row r="682" ht="1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row>
    <row r="683" ht="1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row>
    <row r="684" ht="1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row>
    <row r="685" ht="1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row>
    <row r="686" ht="1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row>
    <row r="687" ht="1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row>
    <row r="688" ht="1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row>
    <row r="689" ht="1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row>
    <row r="690" ht="1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row>
    <row r="691" ht="1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row>
    <row r="692" ht="1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row>
    <row r="693" ht="1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row>
    <row r="694" ht="1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row>
    <row r="695" ht="1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row>
    <row r="696" ht="1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row>
    <row r="697" ht="1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row>
    <row r="698" ht="1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row>
    <row r="699" ht="1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row>
    <row r="700" ht="1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row>
    <row r="701" ht="1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row>
    <row r="702" ht="1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row>
    <row r="703" ht="1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row>
    <row r="704" ht="1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row>
    <row r="705" ht="1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row>
    <row r="706" ht="1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row>
    <row r="707" ht="1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row>
    <row r="708" ht="1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row>
    <row r="709" ht="1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row>
    <row r="710" ht="1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row>
    <row r="711" ht="1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row>
    <row r="712" ht="1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row>
    <row r="713" ht="1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row>
    <row r="714" ht="1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row>
    <row r="715" ht="1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row>
    <row r="716" ht="1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row>
    <row r="717" ht="1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row>
    <row r="718" ht="1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row>
    <row r="719" ht="1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row>
    <row r="720" ht="1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row>
    <row r="721" ht="1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row>
    <row r="722" ht="1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row>
    <row r="723" ht="1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row>
    <row r="724" ht="1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row>
    <row r="725" ht="1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row>
    <row r="726" ht="1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row>
    <row r="727" ht="1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row>
    <row r="728" ht="1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row>
    <row r="729" ht="1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row>
    <row r="730" ht="1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row>
    <row r="731" ht="1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row>
    <row r="732" ht="1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row>
    <row r="733" ht="1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row>
    <row r="734" ht="1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row>
    <row r="735" ht="1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row>
    <row r="736" ht="1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row>
    <row r="737" ht="1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row>
    <row r="738" ht="1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row>
    <row r="739" ht="1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row>
    <row r="740" ht="1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row>
    <row r="741" ht="1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row>
    <row r="742" ht="1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row>
    <row r="743" ht="1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row>
    <row r="744" ht="1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row>
    <row r="745" ht="1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row>
    <row r="746" ht="1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row>
    <row r="747" ht="1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row>
    <row r="748" ht="1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row>
    <row r="749" ht="1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row>
    <row r="750" ht="1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row>
    <row r="751" ht="1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row>
    <row r="752" ht="1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row>
    <row r="753" ht="1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row>
    <row r="754" ht="1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row>
    <row r="755" ht="1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row>
    <row r="756" ht="1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row>
    <row r="757" ht="1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row>
    <row r="758" ht="1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row>
    <row r="759" ht="1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row>
    <row r="760" ht="1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row>
    <row r="761" ht="1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row>
    <row r="762" ht="1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row>
    <row r="763" ht="1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row>
    <row r="764" ht="1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row>
    <row r="765" ht="1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row>
    <row r="766" ht="1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row>
    <row r="767" ht="1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row>
    <row r="768" ht="1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row>
    <row r="769" ht="1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row>
    <row r="770" ht="1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row>
    <row r="771" ht="1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row>
    <row r="772" ht="1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row>
    <row r="773" ht="1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row>
    <row r="774" ht="1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row>
    <row r="775" ht="1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row>
    <row r="776" ht="1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row>
    <row r="777" ht="1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row>
    <row r="778" ht="1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row>
    <row r="779" ht="1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row>
    <row r="780" ht="1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row>
    <row r="781" ht="1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row>
    <row r="782" ht="1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row>
    <row r="783" ht="1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row>
    <row r="784" ht="1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row>
    <row r="785" ht="1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row>
    <row r="786" ht="1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row>
    <row r="787" ht="1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row>
    <row r="788" ht="1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row>
    <row r="789" ht="1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row>
    <row r="790" ht="1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row>
    <row r="791" ht="1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row>
    <row r="792" ht="1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row>
    <row r="793" ht="1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row>
    <row r="794" ht="1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row>
    <row r="795" ht="1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row>
    <row r="796" ht="1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row>
    <row r="797" ht="1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row>
    <row r="798" ht="1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row>
    <row r="799" ht="1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row>
    <row r="800" ht="1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row>
    <row r="801" ht="1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row>
    <row r="802" ht="1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row>
    <row r="803" ht="1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row>
    <row r="804" ht="1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row>
    <row r="805" ht="1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row>
    <row r="806" ht="1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row>
    <row r="807" ht="1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row>
    <row r="808" ht="1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row>
    <row r="809" ht="1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row>
    <row r="810" ht="1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row>
    <row r="811" ht="1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row>
    <row r="812" ht="1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row>
    <row r="813" ht="1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row>
    <row r="814" ht="1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row>
    <row r="815" ht="1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row>
    <row r="816" ht="1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row>
    <row r="817" ht="1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row>
    <row r="818" ht="1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row>
    <row r="819" ht="1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row>
    <row r="820" ht="1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row>
    <row r="821" ht="1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row>
    <row r="822" ht="1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row>
    <row r="823" ht="1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row>
    <row r="824" ht="1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row>
    <row r="825" ht="1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row>
    <row r="826" ht="1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row>
    <row r="827" ht="1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row>
    <row r="828" ht="1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row>
    <row r="829" ht="1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row>
    <row r="830" ht="1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row>
    <row r="831" ht="1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row>
    <row r="832" ht="1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row>
    <row r="833" ht="1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row>
    <row r="834" ht="1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row>
    <row r="835" ht="1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row>
    <row r="836" ht="1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row>
    <row r="837" ht="1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row>
    <row r="838" ht="1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row>
    <row r="839" ht="1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row>
    <row r="840" ht="1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row>
    <row r="841" ht="1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row>
    <row r="842" ht="1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row>
    <row r="843" ht="1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row>
    <row r="844" ht="1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row>
    <row r="845" ht="1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row>
    <row r="846" ht="1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row>
    <row r="847" ht="1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row>
    <row r="848" ht="1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row>
    <row r="849" ht="1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row>
    <row r="850" ht="1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row>
    <row r="851" ht="1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row>
    <row r="852" ht="1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row>
    <row r="853" ht="1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row>
    <row r="854" ht="1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row>
    <row r="855" ht="1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row>
    <row r="856" ht="1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row>
    <row r="857" ht="1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row>
    <row r="858" ht="1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row>
    <row r="859" ht="1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row>
    <row r="860" ht="1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row>
    <row r="861" ht="1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row>
    <row r="862" ht="1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row>
    <row r="863" ht="1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row>
    <row r="864" ht="1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row>
    <row r="865" ht="1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row>
    <row r="866" ht="1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row>
    <row r="867" ht="1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row>
    <row r="868" ht="1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row>
    <row r="869" ht="1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row>
    <row r="870" ht="1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row>
    <row r="871" ht="1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row>
    <row r="872" ht="1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row>
    <row r="873" ht="1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row>
    <row r="874" ht="1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row>
    <row r="875" ht="1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row>
    <row r="876" ht="1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row>
    <row r="877" ht="1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row>
    <row r="878" ht="1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row>
    <row r="879" ht="1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row>
    <row r="880" ht="1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row>
    <row r="881" ht="1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row>
    <row r="882" ht="1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row>
    <row r="883" ht="1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row>
    <row r="884" ht="1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row>
    <row r="885" ht="1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row>
    <row r="886" ht="1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row>
    <row r="887" ht="1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row>
    <row r="888" ht="1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row>
    <row r="889" ht="1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row>
    <row r="890" ht="1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row>
    <row r="891" ht="1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row>
    <row r="892" ht="1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row>
    <row r="893" ht="1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row>
    <row r="894" ht="1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row>
    <row r="895" ht="1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row>
    <row r="896" ht="1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row>
    <row r="897" ht="1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row>
    <row r="898" ht="1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row>
    <row r="899" ht="1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row>
    <row r="900" ht="1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row>
    <row r="901" ht="1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row>
    <row r="902" ht="1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row>
    <row r="903" ht="1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row>
    <row r="904" ht="1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row>
    <row r="905" ht="1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row>
    <row r="906" ht="1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row>
    <row r="907" ht="1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row>
    <row r="908" ht="1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row>
    <row r="909" ht="1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row>
    <row r="910" ht="1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row>
    <row r="911" ht="1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row>
    <row r="912" ht="1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row>
    <row r="913" ht="1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row>
    <row r="914" ht="1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row>
    <row r="915" ht="1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row>
    <row r="916" ht="1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row>
    <row r="917" ht="1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row>
    <row r="918" ht="1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row>
    <row r="919" ht="1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row>
    <row r="920" ht="1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row>
    <row r="921" ht="1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row>
    <row r="922" ht="1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row>
    <row r="923" ht="1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row>
    <row r="924" ht="1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row>
    <row r="925" ht="1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row>
    <row r="926" ht="1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row>
    <row r="927" ht="1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row>
    <row r="928" ht="1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row>
    <row r="929" ht="1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row>
    <row r="930" ht="1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row>
    <row r="931" ht="1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row>
    <row r="932" ht="1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row>
    <row r="933" ht="1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row>
    <row r="934" ht="1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row>
    <row r="935" ht="1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row>
    <row r="936" ht="1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row>
    <row r="937" ht="1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row>
    <row r="938" ht="1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row>
    <row r="939" ht="1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row>
    <row r="940" ht="1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row>
    <row r="941" ht="1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row>
    <row r="942" ht="1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row>
    <row r="943" ht="1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row>
    <row r="944" ht="1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row>
    <row r="945" ht="1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row>
    <row r="946" ht="1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row>
    <row r="947" ht="1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row>
    <row r="948" ht="1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row>
    <row r="949" ht="1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row>
    <row r="950" ht="1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row>
    <row r="951" ht="1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row>
    <row r="952" ht="1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row>
    <row r="953" ht="1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row>
    <row r="954" ht="1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row>
    <row r="955" ht="1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row>
    <row r="956" ht="1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row>
    <row r="957" ht="1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row>
    <row r="958" ht="1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row>
    <row r="959" ht="1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row>
    <row r="960" ht="1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row>
    <row r="961" ht="1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row>
    <row r="962" ht="1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row>
    <row r="963" ht="1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row>
    <row r="964" ht="1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row>
    <row r="965" ht="1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row>
    <row r="966" ht="1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row>
    <row r="967" ht="1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row>
    <row r="968" ht="1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row>
    <row r="969" ht="1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row>
    <row r="970" ht="1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row>
    <row r="971" ht="1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row>
    <row r="972" ht="1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row>
    <row r="973" ht="1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row>
    <row r="974" ht="1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row>
    <row r="975" ht="1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row>
    <row r="976" ht="1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row>
    <row r="977" ht="1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row>
    <row r="978" ht="1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row>
    <row r="979" ht="1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row>
    <row r="980" ht="1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row>
    <row r="981" ht="1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row>
    <row r="982" ht="1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row>
    <row r="983" ht="1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row>
    <row r="984" ht="1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row>
    <row r="985" ht="1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row>
    <row r="986" ht="1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row>
    <row r="987" ht="1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row>
    <row r="988" ht="1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row>
    <row r="989" ht="1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row>
    <row r="990" ht="1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row>
    <row r="991" ht="1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row>
    <row r="992" ht="1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row>
    <row r="993" ht="1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row>
    <row r="994" ht="1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row>
    <row r="995" ht="1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row>
    <row r="996" ht="1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row>
    <row r="997" ht="1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row>
    <row r="998" ht="1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row>
    <row r="999" ht="1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row>
    <row r="1000" ht="1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row>
  </sheetData>
  <mergeCells count="1">
    <mergeCell ref="A1:M1"/>
  </mergeCells>
  <printOptions/>
  <pageMargins bottom="0.944882" footer="0.0" header="0.0" left="0.708661" right="0.708661" top="1.1811"/>
  <pageSetup orientation="landscape"/>
  <headerFooter>
    <oddHeader>&amp;L000000Halkyn Consulting Ltd&amp;R00000011/06/2017</oddHeader>
    <oddFooter>&amp;L5B9BD5www.halkynconsulting.co.uk&amp;R5B9BD5info@halkynconsulting.co.uk</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1" width="6.91"/>
    <col customWidth="1" min="2" max="2" width="63.73"/>
    <col customWidth="1" min="3" max="3" width="9.64"/>
    <col customWidth="1" min="4" max="5" width="5.45"/>
    <col customWidth="1" min="6" max="26" width="5.27"/>
  </cols>
  <sheetData>
    <row r="1" ht="106.5" customHeight="1">
      <c r="A1" s="2" t="s">
        <v>1</v>
      </c>
      <c r="B1" s="3"/>
      <c r="C1" s="4"/>
      <c r="D1" s="5"/>
      <c r="E1" s="6"/>
      <c r="F1" s="7"/>
      <c r="G1" s="7"/>
      <c r="H1" s="7"/>
      <c r="I1" s="7"/>
      <c r="J1" s="7"/>
      <c r="K1" s="7"/>
      <c r="L1" s="7"/>
      <c r="M1" s="7"/>
      <c r="N1" s="7"/>
      <c r="O1" s="7"/>
      <c r="P1" s="7"/>
      <c r="Q1" s="7"/>
      <c r="R1" s="7"/>
      <c r="S1" s="7"/>
      <c r="T1" s="7"/>
      <c r="U1" s="7"/>
      <c r="V1" s="7"/>
      <c r="W1" s="7"/>
      <c r="X1" s="7"/>
      <c r="Y1" s="7"/>
      <c r="Z1" s="7"/>
    </row>
    <row r="2" ht="30.0" customHeight="1">
      <c r="A2" s="8" t="s">
        <v>2</v>
      </c>
      <c r="B2" s="9" t="s">
        <v>3</v>
      </c>
      <c r="C2" s="8" t="s">
        <v>4</v>
      </c>
      <c r="D2" s="10"/>
      <c r="E2" s="11"/>
      <c r="F2" s="7"/>
      <c r="G2" s="7"/>
      <c r="H2" s="7"/>
      <c r="I2" s="7"/>
      <c r="J2" s="7"/>
      <c r="K2" s="7"/>
      <c r="L2" s="7"/>
      <c r="M2" s="7"/>
      <c r="N2" s="7"/>
      <c r="O2" s="7"/>
      <c r="P2" s="7"/>
      <c r="Q2" s="7"/>
      <c r="R2" s="7"/>
      <c r="S2" s="7"/>
      <c r="T2" s="7"/>
      <c r="U2" s="7"/>
      <c r="V2" s="7"/>
      <c r="W2" s="7"/>
      <c r="X2" s="7"/>
      <c r="Y2" s="7"/>
      <c r="Z2" s="7"/>
    </row>
    <row r="3" ht="21.0" customHeight="1">
      <c r="A3" s="13" t="s">
        <v>5</v>
      </c>
      <c r="B3" s="13" t="s">
        <v>6</v>
      </c>
      <c r="C3" s="16">
        <f>AVERAGE('Compliance Checklist'!F5:F6)</f>
        <v>0</v>
      </c>
      <c r="D3" s="10"/>
      <c r="E3" s="11"/>
      <c r="F3" s="7"/>
      <c r="G3" s="7"/>
      <c r="H3" s="7"/>
      <c r="I3" s="7"/>
      <c r="J3" s="7"/>
      <c r="K3" s="7"/>
      <c r="L3" s="7"/>
      <c r="M3" s="7"/>
      <c r="N3" s="7"/>
      <c r="O3" s="7"/>
      <c r="P3" s="7"/>
      <c r="Q3" s="7"/>
      <c r="R3" s="7"/>
      <c r="S3" s="7"/>
      <c r="T3" s="7"/>
      <c r="U3" s="7"/>
      <c r="V3" s="7"/>
      <c r="W3" s="7"/>
      <c r="X3" s="7"/>
      <c r="Y3" s="7"/>
      <c r="Z3" s="7"/>
    </row>
    <row r="4" ht="21.0" customHeight="1">
      <c r="A4" s="13" t="s">
        <v>8</v>
      </c>
      <c r="B4" s="13" t="s">
        <v>9</v>
      </c>
      <c r="C4" s="16">
        <f>AVERAGE('Compliance Checklist'!F9:F13,'Compliance Checklist'!F15,'Compliance Checklist'!F16)</f>
        <v>0</v>
      </c>
      <c r="D4" s="10"/>
      <c r="E4" s="11"/>
      <c r="F4" s="7"/>
      <c r="G4" s="7"/>
      <c r="H4" s="7"/>
      <c r="I4" s="7"/>
      <c r="J4" s="7"/>
      <c r="K4" s="7"/>
      <c r="L4" s="7"/>
      <c r="M4" s="7"/>
      <c r="N4" s="7"/>
      <c r="O4" s="7"/>
      <c r="P4" s="7"/>
      <c r="Q4" s="7"/>
      <c r="R4" s="7"/>
      <c r="S4" s="7"/>
      <c r="T4" s="7"/>
      <c r="U4" s="7"/>
      <c r="V4" s="7"/>
      <c r="W4" s="7"/>
      <c r="X4" s="7"/>
      <c r="Y4" s="7"/>
      <c r="Z4" s="7"/>
    </row>
    <row r="5" ht="21.0" customHeight="1">
      <c r="A5" s="13" t="s">
        <v>10</v>
      </c>
      <c r="B5" s="13" t="s">
        <v>12</v>
      </c>
      <c r="C5" s="16">
        <f>AVERAGE('Compliance Checklist'!F19,'Compliance Checklist'!F20,'Compliance Checklist'!F22,'Compliance Checklist'!F23,'Compliance Checklist'!F24,'Compliance Checklist'!F26)</f>
        <v>0</v>
      </c>
      <c r="D5" s="10"/>
      <c r="E5" s="11"/>
      <c r="F5" s="7"/>
      <c r="G5" s="7"/>
      <c r="H5" s="7"/>
      <c r="I5" s="7"/>
      <c r="J5" s="7"/>
      <c r="K5" s="7"/>
      <c r="L5" s="7"/>
      <c r="M5" s="7"/>
      <c r="N5" s="7"/>
      <c r="O5" s="7"/>
      <c r="P5" s="7"/>
      <c r="Q5" s="7"/>
      <c r="R5" s="7"/>
      <c r="S5" s="7"/>
      <c r="T5" s="7"/>
      <c r="U5" s="7"/>
      <c r="V5" s="7"/>
      <c r="W5" s="7"/>
      <c r="X5" s="7"/>
      <c r="Y5" s="7"/>
      <c r="Z5" s="7"/>
    </row>
    <row r="6" ht="21.0" customHeight="1">
      <c r="A6" s="13" t="s">
        <v>13</v>
      </c>
      <c r="B6" s="13" t="s">
        <v>14</v>
      </c>
      <c r="C6" s="16">
        <f>AVERAGE('Compliance Checklist'!F29:F32,'Compliance Checklist'!F34:F36,'Compliance Checklist'!F38:F40)</f>
        <v>0</v>
      </c>
      <c r="D6" s="10"/>
      <c r="E6" s="11"/>
      <c r="F6" s="7"/>
      <c r="G6" s="7"/>
      <c r="H6" s="7"/>
      <c r="I6" s="7"/>
      <c r="J6" s="7"/>
      <c r="K6" s="7"/>
      <c r="L6" s="7"/>
      <c r="M6" s="7"/>
      <c r="N6" s="7"/>
      <c r="O6" s="7"/>
      <c r="P6" s="7"/>
      <c r="Q6" s="7"/>
      <c r="R6" s="7"/>
      <c r="S6" s="7"/>
      <c r="T6" s="7"/>
      <c r="U6" s="7"/>
      <c r="V6" s="7"/>
      <c r="W6" s="7"/>
      <c r="X6" s="7"/>
      <c r="Y6" s="7"/>
      <c r="Z6" s="7"/>
    </row>
    <row r="7" ht="21.0" customHeight="1">
      <c r="A7" s="13" t="s">
        <v>16</v>
      </c>
      <c r="B7" s="13" t="s">
        <v>17</v>
      </c>
      <c r="C7" s="16">
        <f>AVERAGE('Compliance Checklist'!F43:F44,'Compliance Checklist'!F46:F51,'Compliance Checklist'!F53,'Compliance Checklist'!F55:F59)</f>
        <v>0</v>
      </c>
      <c r="D7" s="10"/>
      <c r="E7" s="11"/>
      <c r="F7" s="7"/>
      <c r="G7" s="7"/>
      <c r="H7" s="7"/>
      <c r="I7" s="7"/>
      <c r="J7" s="7"/>
      <c r="K7" s="7"/>
      <c r="L7" s="7"/>
      <c r="M7" s="7"/>
      <c r="N7" s="7"/>
      <c r="O7" s="7"/>
      <c r="P7" s="7"/>
      <c r="Q7" s="7"/>
      <c r="R7" s="7"/>
      <c r="S7" s="7"/>
      <c r="T7" s="7"/>
      <c r="U7" s="7"/>
      <c r="V7" s="7"/>
      <c r="W7" s="7"/>
      <c r="X7" s="7"/>
      <c r="Y7" s="7"/>
      <c r="Z7" s="7"/>
    </row>
    <row r="8" ht="21.0" customHeight="1">
      <c r="A8" s="13" t="s">
        <v>18</v>
      </c>
      <c r="B8" s="13" t="s">
        <v>19</v>
      </c>
      <c r="C8" s="16">
        <f>AVERAGE('Compliance Checklist'!F62:F63)</f>
        <v>0</v>
      </c>
      <c r="D8" s="10"/>
      <c r="E8" s="11"/>
      <c r="F8" s="7"/>
      <c r="G8" s="7"/>
      <c r="H8" s="7"/>
      <c r="I8" s="7"/>
      <c r="J8" s="7"/>
      <c r="K8" s="7"/>
      <c r="L8" s="7"/>
      <c r="M8" s="7"/>
      <c r="N8" s="7"/>
      <c r="O8" s="7"/>
      <c r="P8" s="7"/>
      <c r="Q8" s="7"/>
      <c r="R8" s="7"/>
      <c r="S8" s="7"/>
      <c r="T8" s="7"/>
      <c r="U8" s="7"/>
      <c r="V8" s="7"/>
      <c r="W8" s="7"/>
      <c r="X8" s="7"/>
      <c r="Y8" s="7"/>
      <c r="Z8" s="7"/>
    </row>
    <row r="9" ht="21.0" customHeight="1">
      <c r="A9" s="13" t="s">
        <v>21</v>
      </c>
      <c r="B9" s="28" t="s">
        <v>22</v>
      </c>
      <c r="C9" s="16">
        <f>AVERAGE('Compliance Checklist'!F66:F71,'Compliance Checklist'!F73:F81)</f>
        <v>0</v>
      </c>
      <c r="D9" s="10"/>
      <c r="E9" s="11"/>
      <c r="F9" s="7"/>
      <c r="G9" s="7"/>
      <c r="H9" s="7"/>
      <c r="I9" s="7"/>
      <c r="J9" s="7"/>
      <c r="K9" s="7"/>
      <c r="L9" s="7"/>
      <c r="M9" s="7"/>
      <c r="N9" s="7"/>
      <c r="O9" s="7"/>
      <c r="P9" s="7"/>
      <c r="Q9" s="7"/>
      <c r="R9" s="7"/>
      <c r="S9" s="7"/>
      <c r="T9" s="7"/>
      <c r="U9" s="7"/>
      <c r="V9" s="7"/>
      <c r="W9" s="7"/>
      <c r="X9" s="7"/>
      <c r="Y9" s="7"/>
      <c r="Z9" s="7"/>
    </row>
    <row r="10" ht="21.0" customHeight="1">
      <c r="A10" s="13" t="s">
        <v>29</v>
      </c>
      <c r="B10" s="28" t="s">
        <v>30</v>
      </c>
      <c r="C10" s="16">
        <f>AVERAGE('Compliance Checklist'!F84:F87,'Compliance Checklist'!F89,'Compliance Checklist'!F91,'Compliance Checklist'!F93:F96,'Compliance Checklist'!F98,'Compliance Checklist'!F100:F101,'Compliance Checklist'!F103)</f>
        <v>0</v>
      </c>
      <c r="D10" s="10"/>
      <c r="E10" s="11"/>
      <c r="F10" s="7"/>
      <c r="G10" s="7"/>
      <c r="H10" s="7"/>
      <c r="I10" s="7"/>
      <c r="J10" s="7"/>
      <c r="K10" s="7"/>
      <c r="L10" s="7"/>
      <c r="M10" s="7"/>
      <c r="N10" s="7"/>
      <c r="O10" s="7"/>
      <c r="P10" s="7"/>
      <c r="Q10" s="7"/>
      <c r="R10" s="7"/>
      <c r="S10" s="7"/>
      <c r="T10" s="7"/>
      <c r="U10" s="7"/>
      <c r="V10" s="7"/>
      <c r="W10" s="7"/>
      <c r="X10" s="7"/>
      <c r="Y10" s="7"/>
      <c r="Z10" s="7"/>
    </row>
    <row r="11" ht="21.0" customHeight="1">
      <c r="A11" s="13" t="s">
        <v>33</v>
      </c>
      <c r="B11" s="28" t="s">
        <v>34</v>
      </c>
      <c r="C11" s="16">
        <f>AVERAGE('Compliance Checklist'!F106:F108,'Compliance Checklist'!F110:F113)</f>
        <v>0</v>
      </c>
      <c r="D11" s="10"/>
      <c r="E11" s="11"/>
      <c r="F11" s="7"/>
      <c r="G11" s="7"/>
      <c r="H11" s="7"/>
      <c r="I11" s="7"/>
      <c r="J11" s="7"/>
      <c r="K11" s="7"/>
      <c r="L11" s="7"/>
      <c r="M11" s="7"/>
      <c r="N11" s="7"/>
      <c r="O11" s="7"/>
      <c r="P11" s="7"/>
      <c r="Q11" s="7"/>
      <c r="R11" s="7"/>
      <c r="S11" s="7"/>
      <c r="T11" s="7"/>
      <c r="U11" s="7"/>
      <c r="V11" s="7"/>
      <c r="W11" s="7"/>
      <c r="X11" s="7"/>
      <c r="Y11" s="7"/>
      <c r="Z11" s="7"/>
    </row>
    <row r="12" ht="21.0" customHeight="1">
      <c r="A12" s="13" t="s">
        <v>40</v>
      </c>
      <c r="B12" s="28" t="s">
        <v>41</v>
      </c>
      <c r="C12" s="16">
        <f>AVERAGE('Compliance Checklist'!F116:F118,'Compliance Checklist'!F120:F124,'Compliance Checklist'!F126:F128,'Compliance Checklist'!F130)</f>
        <v>0</v>
      </c>
      <c r="D12" s="10"/>
      <c r="E12" s="11"/>
      <c r="F12" s="7"/>
      <c r="G12" s="7"/>
      <c r="H12" s="7"/>
      <c r="I12" s="7"/>
      <c r="J12" s="7"/>
      <c r="K12" s="7"/>
      <c r="L12" s="7"/>
      <c r="M12" s="7"/>
      <c r="N12" s="7"/>
      <c r="O12" s="7"/>
      <c r="P12" s="7"/>
      <c r="Q12" s="7"/>
      <c r="R12" s="7"/>
      <c r="S12" s="7"/>
      <c r="T12" s="7"/>
      <c r="U12" s="7"/>
      <c r="V12" s="7"/>
      <c r="W12" s="7"/>
      <c r="X12" s="7"/>
      <c r="Y12" s="7"/>
      <c r="Z12" s="7"/>
    </row>
    <row r="13" ht="21.0" customHeight="1">
      <c r="A13" s="13" t="s">
        <v>47</v>
      </c>
      <c r="B13" s="28" t="s">
        <v>48</v>
      </c>
      <c r="C13" s="16">
        <f>AVERAGE('Compliance Checklist'!F133:F135,'Compliance Checklist'!F137:F138)</f>
        <v>0</v>
      </c>
      <c r="D13" s="10"/>
      <c r="E13" s="11"/>
      <c r="F13" s="7"/>
      <c r="G13" s="7"/>
      <c r="H13" s="7"/>
      <c r="I13" s="7"/>
      <c r="J13" s="7"/>
      <c r="K13" s="7"/>
      <c r="L13" s="7"/>
      <c r="M13" s="7"/>
      <c r="N13" s="7"/>
      <c r="O13" s="7"/>
      <c r="P13" s="7"/>
      <c r="Q13" s="7"/>
      <c r="R13" s="7"/>
      <c r="S13" s="7"/>
      <c r="T13" s="7"/>
      <c r="U13" s="7"/>
      <c r="V13" s="7"/>
      <c r="W13" s="7"/>
      <c r="X13" s="7"/>
      <c r="Y13" s="7"/>
      <c r="Z13" s="7"/>
    </row>
    <row r="14" ht="21.0" customHeight="1">
      <c r="A14" s="13" t="s">
        <v>51</v>
      </c>
      <c r="B14" s="28" t="s">
        <v>52</v>
      </c>
      <c r="C14" s="16">
        <f>AVERAGE('Compliance Checklist'!F141:F147)</f>
        <v>0</v>
      </c>
      <c r="D14" s="10"/>
      <c r="E14" s="11"/>
      <c r="F14" s="7"/>
      <c r="G14" s="7"/>
      <c r="H14" s="7"/>
      <c r="I14" s="7"/>
      <c r="J14" s="7"/>
      <c r="K14" s="7"/>
      <c r="L14" s="7"/>
      <c r="M14" s="7"/>
      <c r="N14" s="7"/>
      <c r="O14" s="7"/>
      <c r="P14" s="7"/>
      <c r="Q14" s="7"/>
      <c r="R14" s="7"/>
      <c r="S14" s="7"/>
      <c r="T14" s="7"/>
      <c r="U14" s="7"/>
      <c r="V14" s="7"/>
      <c r="W14" s="7"/>
      <c r="X14" s="7"/>
      <c r="Y14" s="7"/>
      <c r="Z14" s="7"/>
    </row>
    <row r="15" ht="21.0" customHeight="1">
      <c r="A15" s="13" t="s">
        <v>53</v>
      </c>
      <c r="B15" s="28" t="s">
        <v>54</v>
      </c>
      <c r="C15" s="16">
        <f>AVERAGE('Compliance Checklist'!F150:F152,'Compliance Checklist'!F154)</f>
        <v>0</v>
      </c>
      <c r="D15" s="10"/>
      <c r="E15" s="11"/>
      <c r="F15" s="7"/>
      <c r="G15" s="7"/>
      <c r="H15" s="7"/>
      <c r="I15" s="7"/>
      <c r="J15" s="7"/>
      <c r="K15" s="7"/>
      <c r="L15" s="7"/>
      <c r="M15" s="7"/>
      <c r="N15" s="7"/>
      <c r="O15" s="7"/>
      <c r="P15" s="7"/>
      <c r="Q15" s="7"/>
      <c r="R15" s="7"/>
      <c r="S15" s="7"/>
      <c r="T15" s="7"/>
      <c r="U15" s="7"/>
      <c r="V15" s="7"/>
      <c r="W15" s="7"/>
      <c r="X15" s="7"/>
      <c r="Y15" s="7"/>
      <c r="Z15" s="7"/>
    </row>
    <row r="16" ht="21.0" customHeight="1">
      <c r="A16" s="13" t="s">
        <v>55</v>
      </c>
      <c r="B16" s="28" t="s">
        <v>56</v>
      </c>
      <c r="C16" s="16">
        <f>AVERAGE('Compliance Checklist'!F157:F161,'Compliance Checklist'!F163:F165)</f>
        <v>0</v>
      </c>
      <c r="D16" s="10"/>
      <c r="E16" s="11"/>
      <c r="F16" s="7"/>
      <c r="G16" s="7"/>
      <c r="H16" s="7"/>
      <c r="I16" s="7"/>
      <c r="J16" s="7"/>
      <c r="K16" s="7"/>
      <c r="L16" s="7"/>
      <c r="M16" s="7"/>
      <c r="N16" s="7"/>
      <c r="O16" s="7"/>
      <c r="P16" s="7"/>
      <c r="Q16" s="7"/>
      <c r="R16" s="7"/>
      <c r="S16" s="7"/>
      <c r="T16" s="7"/>
      <c r="U16" s="7"/>
      <c r="V16" s="7"/>
      <c r="W16" s="7"/>
      <c r="X16" s="7"/>
      <c r="Y16" s="7"/>
      <c r="Z16" s="7"/>
    </row>
    <row r="17" ht="21.0" customHeight="1">
      <c r="A17" s="33"/>
      <c r="B17" s="34"/>
      <c r="C17" s="35"/>
      <c r="D17" s="7"/>
      <c r="E17" s="11"/>
      <c r="F17" s="7"/>
      <c r="G17" s="7"/>
      <c r="H17" s="7"/>
      <c r="I17" s="7"/>
      <c r="J17" s="7"/>
      <c r="K17" s="7"/>
      <c r="L17" s="7"/>
      <c r="M17" s="7"/>
      <c r="N17" s="7"/>
      <c r="O17" s="7"/>
      <c r="P17" s="7"/>
      <c r="Q17" s="7"/>
      <c r="R17" s="7"/>
      <c r="S17" s="7"/>
      <c r="T17" s="7"/>
      <c r="U17" s="7"/>
      <c r="V17" s="7"/>
      <c r="W17" s="7"/>
      <c r="X17" s="7"/>
      <c r="Y17" s="7"/>
      <c r="Z17" s="7"/>
    </row>
    <row r="18" ht="21.0" customHeight="1">
      <c r="A18" s="36"/>
      <c r="B18" s="7"/>
      <c r="C18" s="37"/>
      <c r="D18" s="7"/>
      <c r="E18" s="11"/>
      <c r="F18" s="7"/>
      <c r="G18" s="7"/>
      <c r="H18" s="7"/>
      <c r="I18" s="7"/>
      <c r="J18" s="7"/>
      <c r="K18" s="7"/>
      <c r="L18" s="7"/>
      <c r="M18" s="7"/>
      <c r="N18" s="7"/>
      <c r="O18" s="7"/>
      <c r="P18" s="7"/>
      <c r="Q18" s="7"/>
      <c r="R18" s="7"/>
      <c r="S18" s="7"/>
      <c r="T18" s="7"/>
      <c r="U18" s="7"/>
      <c r="V18" s="7"/>
      <c r="W18" s="7"/>
      <c r="X18" s="7"/>
      <c r="Y18" s="7"/>
      <c r="Z18" s="7"/>
    </row>
    <row r="19" ht="21.0" customHeight="1">
      <c r="A19" s="38"/>
      <c r="B19" s="39"/>
      <c r="C19" s="40"/>
      <c r="D19" s="7"/>
      <c r="E19" s="11"/>
      <c r="F19" s="7"/>
      <c r="G19" s="7"/>
      <c r="H19" s="7"/>
      <c r="I19" s="7"/>
      <c r="J19" s="7"/>
      <c r="K19" s="7"/>
      <c r="L19" s="7"/>
      <c r="M19" s="7"/>
      <c r="N19" s="7"/>
      <c r="O19" s="7"/>
      <c r="P19" s="7"/>
      <c r="Q19" s="7"/>
      <c r="R19" s="7"/>
      <c r="S19" s="7"/>
      <c r="T19" s="7"/>
      <c r="U19" s="7"/>
      <c r="V19" s="7"/>
      <c r="W19" s="7"/>
      <c r="X19" s="7"/>
      <c r="Y19" s="7"/>
      <c r="Z19" s="7"/>
    </row>
    <row r="20" ht="21.0" customHeight="1">
      <c r="A20" s="41" t="s">
        <v>57</v>
      </c>
      <c r="B20" s="4"/>
      <c r="C20" s="16">
        <f>AVERAGE(C3:C16)</f>
        <v>0</v>
      </c>
      <c r="D20" s="10"/>
      <c r="E20" s="11"/>
      <c r="F20" s="7"/>
      <c r="G20" s="7"/>
      <c r="H20" s="7"/>
      <c r="I20" s="7"/>
      <c r="J20" s="7"/>
      <c r="K20" s="7"/>
      <c r="L20" s="7"/>
      <c r="M20" s="7"/>
      <c r="N20" s="7"/>
      <c r="O20" s="7"/>
      <c r="P20" s="7"/>
      <c r="Q20" s="7"/>
      <c r="R20" s="7"/>
      <c r="S20" s="7"/>
      <c r="T20" s="7"/>
      <c r="U20" s="7"/>
      <c r="V20" s="7"/>
      <c r="W20" s="7"/>
      <c r="X20" s="7"/>
      <c r="Y20" s="7"/>
      <c r="Z20" s="7"/>
    </row>
    <row r="21" ht="21.0" customHeight="1">
      <c r="A21" s="33"/>
      <c r="B21" s="34"/>
      <c r="C21" s="34"/>
      <c r="D21" s="7"/>
      <c r="E21" s="11"/>
      <c r="F21" s="7"/>
      <c r="G21" s="7"/>
      <c r="H21" s="7"/>
      <c r="I21" s="7"/>
      <c r="J21" s="7"/>
      <c r="K21" s="7"/>
      <c r="L21" s="7"/>
      <c r="M21" s="7"/>
      <c r="N21" s="7"/>
      <c r="O21" s="7"/>
      <c r="P21" s="7"/>
      <c r="Q21" s="7"/>
      <c r="R21" s="7"/>
      <c r="S21" s="7"/>
      <c r="T21" s="7"/>
      <c r="U21" s="7"/>
      <c r="V21" s="7"/>
      <c r="W21" s="7"/>
      <c r="X21" s="7"/>
      <c r="Y21" s="7"/>
      <c r="Z21" s="7"/>
    </row>
    <row r="22" ht="21.0" customHeight="1">
      <c r="A22" s="42"/>
      <c r="B22" s="43"/>
      <c r="C22" s="44"/>
      <c r="D22" s="43"/>
      <c r="E22" s="45"/>
      <c r="F22" s="7"/>
      <c r="G22" s="7"/>
      <c r="H22" s="7"/>
      <c r="I22" s="7"/>
      <c r="J22" s="7"/>
      <c r="K22" s="7"/>
      <c r="L22" s="7"/>
      <c r="M22" s="7"/>
      <c r="N22" s="7"/>
      <c r="O22" s="7"/>
      <c r="P22" s="7"/>
      <c r="Q22" s="7"/>
      <c r="R22" s="7"/>
      <c r="S22" s="7"/>
      <c r="T22" s="7"/>
      <c r="U22" s="7"/>
      <c r="V22" s="7"/>
      <c r="W22" s="7"/>
      <c r="X22" s="7"/>
      <c r="Y22" s="7"/>
      <c r="Z22" s="7"/>
    </row>
    <row r="23" ht="19.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9.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9.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9.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9.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9.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9.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9.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9.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9.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9.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9.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9.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9.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9.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9.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9.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9.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9.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9.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9.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9.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9.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9.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9.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9.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9.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9.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9.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9.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9.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9.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9.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9.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9.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9.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9.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9.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9.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9.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9.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9.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9.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9.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9.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9.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9.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9.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9.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9.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9.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9.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9.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9.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9.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9.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9.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9.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9.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9.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9.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9.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9.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9.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9.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9.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9.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9.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9.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9.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9.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9.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9.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9.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9.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9.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9.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9.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9.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9.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9.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9.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9.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9.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9.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9.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9.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9.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9.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9.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9.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9.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9.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9.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9.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9.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9.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9.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9.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9.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9.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9.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9.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9.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9.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9.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9.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9.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9.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9.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9.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9.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9.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9.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9.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9.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9.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9.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9.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9.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9.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9.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9.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9.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9.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9.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9.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9.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9.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9.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9.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9.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9.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9.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9.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9.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9.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A1:C1"/>
    <mergeCell ref="A20:B20"/>
  </mergeCells>
  <conditionalFormatting sqref="C3:C16 C20">
    <cfRule type="cellIs" dxfId="0" priority="1" stopIfTrue="1" operator="greaterThan">
      <formula>0.75</formula>
    </cfRule>
  </conditionalFormatting>
  <conditionalFormatting sqref="C3:C16 C20">
    <cfRule type="cellIs" dxfId="1" priority="2" stopIfTrue="1" operator="lessThan">
      <formula>0.25</formula>
    </cfRule>
  </conditionalFormatting>
  <printOptions/>
  <pageMargins bottom="1.05" footer="0.0" header="0.0" left="0.51" right="0.511811" top="1.46"/>
  <pageSetup orientation="portrait"/>
  <headerFooter>
    <oddHeader>&amp;L5B9BD5www.halkynconsulting.co.uk&amp;R5B9BD5info@halkynconsulting.co.uk</oddHeader>
    <oddFooter>&amp;L00000011/06/2017&amp;C000000Page 1 of 1&amp;R000000Halkyn Consulting Ltd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1" width="8.73"/>
    <col customWidth="1" min="2" max="2" width="73.36"/>
    <col customWidth="1" min="3" max="3" width="6.91"/>
    <col customWidth="1" min="4" max="26" width="5.27"/>
  </cols>
  <sheetData>
    <row r="1" ht="97.5" customHeight="1">
      <c r="A1" s="49" t="s">
        <v>59</v>
      </c>
      <c r="B1" s="3"/>
      <c r="C1" s="4"/>
      <c r="D1" s="7"/>
      <c r="E1" s="7"/>
      <c r="F1" s="7"/>
      <c r="G1" s="7"/>
      <c r="H1" s="7"/>
      <c r="I1" s="7"/>
      <c r="J1" s="7"/>
      <c r="K1" s="7"/>
      <c r="L1" s="7"/>
      <c r="M1" s="7"/>
      <c r="N1" s="7"/>
      <c r="O1" s="7"/>
      <c r="P1" s="7"/>
      <c r="Q1" s="7"/>
      <c r="R1" s="7"/>
      <c r="S1" s="7"/>
      <c r="T1" s="7"/>
      <c r="U1" s="7"/>
      <c r="V1" s="7"/>
      <c r="W1" s="7"/>
      <c r="X1" s="7"/>
      <c r="Y1" s="7"/>
      <c r="Z1" s="7"/>
    </row>
    <row r="2" ht="19.5" customHeight="1">
      <c r="A2" s="50" t="s">
        <v>2</v>
      </c>
      <c r="B2" s="51" t="s">
        <v>3</v>
      </c>
      <c r="C2" s="52" t="s">
        <v>4</v>
      </c>
      <c r="D2" s="7"/>
      <c r="E2" s="7"/>
      <c r="F2" s="7"/>
      <c r="G2" s="7"/>
      <c r="H2" s="7"/>
      <c r="I2" s="7"/>
      <c r="J2" s="7"/>
      <c r="K2" s="7"/>
      <c r="L2" s="7"/>
      <c r="M2" s="7"/>
      <c r="N2" s="7"/>
      <c r="O2" s="7"/>
      <c r="P2" s="7"/>
      <c r="Q2" s="7"/>
      <c r="R2" s="7"/>
      <c r="S2" s="7"/>
      <c r="T2" s="7"/>
      <c r="U2" s="7"/>
      <c r="V2" s="7"/>
      <c r="W2" s="7"/>
      <c r="X2" s="7"/>
      <c r="Y2" s="7"/>
      <c r="Z2" s="7"/>
    </row>
    <row r="3" ht="16.5" customHeight="1">
      <c r="A3" s="53" t="s">
        <v>60</v>
      </c>
      <c r="B3" s="13" t="s">
        <v>61</v>
      </c>
      <c r="C3" s="54">
        <f>AVERAGE('Compliance Checklist'!F5:F6)</f>
        <v>0</v>
      </c>
      <c r="D3" s="7"/>
      <c r="E3" s="7"/>
      <c r="F3" s="7"/>
      <c r="G3" s="7"/>
      <c r="H3" s="7"/>
      <c r="I3" s="7"/>
      <c r="J3" s="7"/>
      <c r="K3" s="7"/>
      <c r="L3" s="7"/>
      <c r="M3" s="7"/>
      <c r="N3" s="7"/>
      <c r="O3" s="7"/>
      <c r="P3" s="7"/>
      <c r="Q3" s="7"/>
      <c r="R3" s="7"/>
      <c r="S3" s="7"/>
      <c r="T3" s="7"/>
      <c r="U3" s="7"/>
      <c r="V3" s="7"/>
      <c r="W3" s="7"/>
      <c r="X3" s="7"/>
      <c r="Y3" s="7"/>
      <c r="Z3" s="7"/>
    </row>
    <row r="4" ht="16.5" customHeight="1">
      <c r="A4" s="53" t="s">
        <v>62</v>
      </c>
      <c r="B4" s="13" t="s">
        <v>63</v>
      </c>
      <c r="C4" s="54">
        <f>AVERAGE('Compliance Checklist'!F9:F13)</f>
        <v>0</v>
      </c>
      <c r="D4" s="7"/>
      <c r="E4" s="7"/>
      <c r="F4" s="7"/>
      <c r="G4" s="7"/>
      <c r="H4" s="7"/>
      <c r="I4" s="7"/>
      <c r="J4" s="7"/>
      <c r="K4" s="7"/>
      <c r="L4" s="7"/>
      <c r="M4" s="7"/>
      <c r="N4" s="7"/>
      <c r="O4" s="7"/>
      <c r="P4" s="7"/>
      <c r="Q4" s="7"/>
      <c r="R4" s="7"/>
      <c r="S4" s="7"/>
      <c r="T4" s="7"/>
      <c r="U4" s="7"/>
      <c r="V4" s="7"/>
      <c r="W4" s="7"/>
      <c r="X4" s="7"/>
      <c r="Y4" s="7"/>
      <c r="Z4" s="7"/>
    </row>
    <row r="5" ht="16.5" customHeight="1">
      <c r="A5" s="53" t="s">
        <v>64</v>
      </c>
      <c r="B5" s="28" t="s">
        <v>65</v>
      </c>
      <c r="C5" s="54">
        <f>AVERAGE('Compliance Checklist'!F15:F16)</f>
        <v>0</v>
      </c>
      <c r="D5" s="7"/>
      <c r="E5" s="7"/>
      <c r="F5" s="7"/>
      <c r="G5" s="7"/>
      <c r="H5" s="7"/>
      <c r="I5" s="7"/>
      <c r="J5" s="7"/>
      <c r="K5" s="7"/>
      <c r="L5" s="7"/>
      <c r="M5" s="7"/>
      <c r="N5" s="7"/>
      <c r="O5" s="7"/>
      <c r="P5" s="7"/>
      <c r="Q5" s="7"/>
      <c r="R5" s="7"/>
      <c r="S5" s="7"/>
      <c r="T5" s="7"/>
      <c r="U5" s="7"/>
      <c r="V5" s="7"/>
      <c r="W5" s="7"/>
      <c r="X5" s="7"/>
      <c r="Y5" s="7"/>
      <c r="Z5" s="7"/>
    </row>
    <row r="6" ht="16.5" customHeight="1">
      <c r="A6" s="53" t="s">
        <v>66</v>
      </c>
      <c r="B6" s="28" t="s">
        <v>67</v>
      </c>
      <c r="C6" s="54">
        <f>AVERAGE('Compliance Checklist'!F19:F20)</f>
        <v>0</v>
      </c>
      <c r="D6" s="7"/>
      <c r="E6" s="7"/>
      <c r="F6" s="7"/>
      <c r="G6" s="7"/>
      <c r="H6" s="7"/>
      <c r="I6" s="7"/>
      <c r="J6" s="7"/>
      <c r="K6" s="7"/>
      <c r="L6" s="7"/>
      <c r="M6" s="7"/>
      <c r="N6" s="7"/>
      <c r="O6" s="7"/>
      <c r="P6" s="7"/>
      <c r="Q6" s="7"/>
      <c r="R6" s="7"/>
      <c r="S6" s="7"/>
      <c r="T6" s="7"/>
      <c r="U6" s="7"/>
      <c r="V6" s="7"/>
      <c r="W6" s="7"/>
      <c r="X6" s="7"/>
      <c r="Y6" s="7"/>
      <c r="Z6" s="7"/>
    </row>
    <row r="7" ht="16.5" customHeight="1">
      <c r="A7" s="53" t="s">
        <v>68</v>
      </c>
      <c r="B7" s="28" t="s">
        <v>69</v>
      </c>
      <c r="C7" s="54">
        <f>AVERAGE('Compliance Checklist'!F22:F24)</f>
        <v>0</v>
      </c>
      <c r="D7" s="7"/>
      <c r="E7" s="7"/>
      <c r="F7" s="7"/>
      <c r="G7" s="7"/>
      <c r="H7" s="7"/>
      <c r="I7" s="7"/>
      <c r="J7" s="7"/>
      <c r="K7" s="7"/>
      <c r="L7" s="7"/>
      <c r="M7" s="7"/>
      <c r="N7" s="7"/>
      <c r="O7" s="7"/>
      <c r="P7" s="7"/>
      <c r="Q7" s="7"/>
      <c r="R7" s="7"/>
      <c r="S7" s="7"/>
      <c r="T7" s="7"/>
      <c r="U7" s="7"/>
      <c r="V7" s="7"/>
      <c r="W7" s="7"/>
      <c r="X7" s="7"/>
      <c r="Y7" s="7"/>
      <c r="Z7" s="7"/>
    </row>
    <row r="8" ht="16.5" customHeight="1">
      <c r="A8" s="53" t="s">
        <v>70</v>
      </c>
      <c r="B8" s="28" t="s">
        <v>71</v>
      </c>
      <c r="C8" s="54">
        <f>AVERAGE('Compliance Checklist'!F26)</f>
        <v>0</v>
      </c>
      <c r="D8" s="7"/>
      <c r="E8" s="7"/>
      <c r="F8" s="7"/>
      <c r="G8" s="7"/>
      <c r="H8" s="7"/>
      <c r="I8" s="7"/>
      <c r="J8" s="7"/>
      <c r="K8" s="7"/>
      <c r="L8" s="7"/>
      <c r="M8" s="7"/>
      <c r="N8" s="7"/>
      <c r="O8" s="7"/>
      <c r="P8" s="7"/>
      <c r="Q8" s="7"/>
      <c r="R8" s="7"/>
      <c r="S8" s="7"/>
      <c r="T8" s="7"/>
      <c r="U8" s="7"/>
      <c r="V8" s="7"/>
      <c r="W8" s="7"/>
      <c r="X8" s="7"/>
      <c r="Y8" s="7"/>
      <c r="Z8" s="7"/>
    </row>
    <row r="9" ht="16.5" customHeight="1">
      <c r="A9" s="53" t="s">
        <v>72</v>
      </c>
      <c r="B9" s="28" t="s">
        <v>73</v>
      </c>
      <c r="C9" s="54">
        <f>AVERAGE('Compliance Checklist'!F29:F32)</f>
        <v>0</v>
      </c>
      <c r="D9" s="7"/>
      <c r="E9" s="7"/>
      <c r="F9" s="7"/>
      <c r="G9" s="7"/>
      <c r="H9" s="7"/>
      <c r="I9" s="7"/>
      <c r="J9" s="7"/>
      <c r="K9" s="7"/>
      <c r="L9" s="7"/>
      <c r="M9" s="7"/>
      <c r="N9" s="7"/>
      <c r="O9" s="7"/>
      <c r="P9" s="7"/>
      <c r="Q9" s="7"/>
      <c r="R9" s="7"/>
      <c r="S9" s="7"/>
      <c r="T9" s="7"/>
      <c r="U9" s="7"/>
      <c r="V9" s="7"/>
      <c r="W9" s="7"/>
      <c r="X9" s="7"/>
      <c r="Y9" s="7"/>
      <c r="Z9" s="7"/>
    </row>
    <row r="10" ht="16.5" customHeight="1">
      <c r="A10" s="53" t="s">
        <v>74</v>
      </c>
      <c r="B10" s="28" t="s">
        <v>75</v>
      </c>
      <c r="C10" s="54">
        <f>AVERAGE('Compliance Checklist'!F34:F36)</f>
        <v>0</v>
      </c>
      <c r="D10" s="7"/>
      <c r="E10" s="7"/>
      <c r="F10" s="7"/>
      <c r="G10" s="7"/>
      <c r="H10" s="7"/>
      <c r="I10" s="7"/>
      <c r="J10" s="7"/>
      <c r="K10" s="7"/>
      <c r="L10" s="7"/>
      <c r="M10" s="7"/>
      <c r="N10" s="7"/>
      <c r="O10" s="7"/>
      <c r="P10" s="7"/>
      <c r="Q10" s="7"/>
      <c r="R10" s="7"/>
      <c r="S10" s="7"/>
      <c r="T10" s="7"/>
      <c r="U10" s="7"/>
      <c r="V10" s="7"/>
      <c r="W10" s="7"/>
      <c r="X10" s="7"/>
      <c r="Y10" s="7"/>
      <c r="Z10" s="7"/>
    </row>
    <row r="11" ht="16.5" customHeight="1">
      <c r="A11" s="53" t="s">
        <v>76</v>
      </c>
      <c r="B11" s="28" t="s">
        <v>77</v>
      </c>
      <c r="C11" s="54">
        <f>AVERAGE('Compliance Checklist'!F38:F40)</f>
        <v>0</v>
      </c>
      <c r="D11" s="7"/>
      <c r="E11" s="7"/>
      <c r="F11" s="7"/>
      <c r="G11" s="7"/>
      <c r="H11" s="7"/>
      <c r="I11" s="7"/>
      <c r="J11" s="7"/>
      <c r="K11" s="7"/>
      <c r="L11" s="7"/>
      <c r="M11" s="7"/>
      <c r="N11" s="7"/>
      <c r="O11" s="7"/>
      <c r="P11" s="7"/>
      <c r="Q11" s="7"/>
      <c r="R11" s="7"/>
      <c r="S11" s="7"/>
      <c r="T11" s="7"/>
      <c r="U11" s="7"/>
      <c r="V11" s="7"/>
      <c r="W11" s="7"/>
      <c r="X11" s="7"/>
      <c r="Y11" s="7"/>
      <c r="Z11" s="7"/>
    </row>
    <row r="12" ht="16.5" customHeight="1">
      <c r="A12" s="53" t="s">
        <v>78</v>
      </c>
      <c r="B12" s="28" t="s">
        <v>79</v>
      </c>
      <c r="C12" s="54">
        <f>AVERAGE('Compliance Checklist'!F43:F44)</f>
        <v>0</v>
      </c>
      <c r="D12" s="7"/>
      <c r="E12" s="7"/>
      <c r="F12" s="7"/>
      <c r="G12" s="7"/>
      <c r="H12" s="7"/>
      <c r="I12" s="7"/>
      <c r="J12" s="7"/>
      <c r="K12" s="7"/>
      <c r="L12" s="7"/>
      <c r="M12" s="7"/>
      <c r="N12" s="7"/>
      <c r="O12" s="7"/>
      <c r="P12" s="7"/>
      <c r="Q12" s="7"/>
      <c r="R12" s="7"/>
      <c r="S12" s="7"/>
      <c r="T12" s="7"/>
      <c r="U12" s="7"/>
      <c r="V12" s="7"/>
      <c r="W12" s="7"/>
      <c r="X12" s="7"/>
      <c r="Y12" s="7"/>
      <c r="Z12" s="7"/>
    </row>
    <row r="13" ht="16.5" customHeight="1">
      <c r="A13" s="53" t="s">
        <v>80</v>
      </c>
      <c r="B13" s="28" t="s">
        <v>81</v>
      </c>
      <c r="C13" s="54">
        <f>AVERAGE('Compliance Checklist'!F46:F51)</f>
        <v>0</v>
      </c>
      <c r="D13" s="7"/>
      <c r="E13" s="7"/>
      <c r="F13" s="7"/>
      <c r="G13" s="7"/>
      <c r="H13" s="7"/>
      <c r="I13" s="7"/>
      <c r="J13" s="7"/>
      <c r="K13" s="7"/>
      <c r="L13" s="7"/>
      <c r="M13" s="7"/>
      <c r="N13" s="7"/>
      <c r="O13" s="7"/>
      <c r="P13" s="7"/>
      <c r="Q13" s="7"/>
      <c r="R13" s="7"/>
      <c r="S13" s="7"/>
      <c r="T13" s="7"/>
      <c r="U13" s="7"/>
      <c r="V13" s="7"/>
      <c r="W13" s="7"/>
      <c r="X13" s="7"/>
      <c r="Y13" s="7"/>
      <c r="Z13" s="7"/>
    </row>
    <row r="14" ht="16.5" customHeight="1">
      <c r="A14" s="53" t="s">
        <v>82</v>
      </c>
      <c r="B14" s="28" t="s">
        <v>83</v>
      </c>
      <c r="C14" s="54">
        <f>AVERAGE('Compliance Checklist'!F53)</f>
        <v>0</v>
      </c>
      <c r="D14" s="7"/>
      <c r="E14" s="7"/>
      <c r="F14" s="7"/>
      <c r="G14" s="7"/>
      <c r="H14" s="7"/>
      <c r="I14" s="7"/>
      <c r="J14" s="7"/>
      <c r="K14" s="7"/>
      <c r="L14" s="7"/>
      <c r="M14" s="7"/>
      <c r="N14" s="7"/>
      <c r="O14" s="7"/>
      <c r="P14" s="7"/>
      <c r="Q14" s="7"/>
      <c r="R14" s="7"/>
      <c r="S14" s="7"/>
      <c r="T14" s="7"/>
      <c r="U14" s="7"/>
      <c r="V14" s="7"/>
      <c r="W14" s="7"/>
      <c r="X14" s="7"/>
      <c r="Y14" s="7"/>
      <c r="Z14" s="7"/>
    </row>
    <row r="15" ht="16.5" customHeight="1">
      <c r="A15" s="53" t="s">
        <v>84</v>
      </c>
      <c r="B15" s="28" t="s">
        <v>85</v>
      </c>
      <c r="C15" s="54">
        <f>AVERAGE('Compliance Checklist'!F55:F59)</f>
        <v>0</v>
      </c>
      <c r="D15" s="7"/>
      <c r="E15" s="7"/>
      <c r="F15" s="7"/>
      <c r="G15" s="7"/>
      <c r="H15" s="7"/>
      <c r="I15" s="7"/>
      <c r="J15" s="7"/>
      <c r="K15" s="7"/>
      <c r="L15" s="7"/>
      <c r="M15" s="7"/>
      <c r="N15" s="7"/>
      <c r="O15" s="7"/>
      <c r="P15" s="7"/>
      <c r="Q15" s="7"/>
      <c r="R15" s="7"/>
      <c r="S15" s="7"/>
      <c r="T15" s="7"/>
      <c r="U15" s="7"/>
      <c r="V15" s="7"/>
      <c r="W15" s="7"/>
      <c r="X15" s="7"/>
      <c r="Y15" s="7"/>
      <c r="Z15" s="7"/>
    </row>
    <row r="16" ht="16.5" customHeight="1">
      <c r="A16" s="53" t="s">
        <v>86</v>
      </c>
      <c r="B16" s="28" t="s">
        <v>87</v>
      </c>
      <c r="C16" s="54">
        <f>AVERAGE('Compliance Checklist'!F62:F63)</f>
        <v>0</v>
      </c>
      <c r="D16" s="7"/>
      <c r="E16" s="7"/>
      <c r="F16" s="7"/>
      <c r="G16" s="7"/>
      <c r="H16" s="7"/>
      <c r="I16" s="7"/>
      <c r="J16" s="7"/>
      <c r="K16" s="7"/>
      <c r="L16" s="7"/>
      <c r="M16" s="7"/>
      <c r="N16" s="7"/>
      <c r="O16" s="7"/>
      <c r="P16" s="7"/>
      <c r="Q16" s="7"/>
      <c r="R16" s="7"/>
      <c r="S16" s="7"/>
      <c r="T16" s="7"/>
      <c r="U16" s="7"/>
      <c r="V16" s="7"/>
      <c r="W16" s="7"/>
      <c r="X16" s="7"/>
      <c r="Y16" s="7"/>
      <c r="Z16" s="7"/>
    </row>
    <row r="17" ht="16.5" customHeight="1">
      <c r="A17" s="53" t="s">
        <v>88</v>
      </c>
      <c r="B17" s="28" t="s">
        <v>89</v>
      </c>
      <c r="C17" s="54">
        <f>AVERAGE('Compliance Checklist'!F66:F71)</f>
        <v>0</v>
      </c>
      <c r="D17" s="7"/>
      <c r="E17" s="7"/>
      <c r="F17" s="7"/>
      <c r="G17" s="7"/>
      <c r="H17" s="7"/>
      <c r="I17" s="7"/>
      <c r="J17" s="7"/>
      <c r="K17" s="7"/>
      <c r="L17" s="7"/>
      <c r="M17" s="7"/>
      <c r="N17" s="7"/>
      <c r="O17" s="7"/>
      <c r="P17" s="7"/>
      <c r="Q17" s="7"/>
      <c r="R17" s="7"/>
      <c r="S17" s="7"/>
      <c r="T17" s="7"/>
      <c r="U17" s="7"/>
      <c r="V17" s="7"/>
      <c r="W17" s="7"/>
      <c r="X17" s="7"/>
      <c r="Y17" s="7"/>
      <c r="Z17" s="7"/>
    </row>
    <row r="18" ht="16.5" customHeight="1">
      <c r="A18" s="53" t="s">
        <v>90</v>
      </c>
      <c r="B18" s="28" t="s">
        <v>91</v>
      </c>
      <c r="C18" s="54">
        <f>AVERAGE('Compliance Checklist'!F73:F81)</f>
        <v>0</v>
      </c>
      <c r="D18" s="7"/>
      <c r="E18" s="7"/>
      <c r="F18" s="7"/>
      <c r="G18" s="7"/>
      <c r="H18" s="7"/>
      <c r="I18" s="7"/>
      <c r="J18" s="7"/>
      <c r="K18" s="7"/>
      <c r="L18" s="7"/>
      <c r="M18" s="7"/>
      <c r="N18" s="7"/>
      <c r="O18" s="7"/>
      <c r="P18" s="7"/>
      <c r="Q18" s="7"/>
      <c r="R18" s="7"/>
      <c r="S18" s="7"/>
      <c r="T18" s="7"/>
      <c r="U18" s="7"/>
      <c r="V18" s="7"/>
      <c r="W18" s="7"/>
      <c r="X18" s="7"/>
      <c r="Y18" s="7"/>
      <c r="Z18" s="7"/>
    </row>
    <row r="19" ht="16.5" customHeight="1">
      <c r="A19" s="53" t="s">
        <v>92</v>
      </c>
      <c r="B19" s="28" t="s">
        <v>93</v>
      </c>
      <c r="C19" s="54">
        <f>AVERAGE('Compliance Checklist'!F84:F87)</f>
        <v>0</v>
      </c>
      <c r="D19" s="7"/>
      <c r="E19" s="7"/>
      <c r="F19" s="7"/>
      <c r="G19" s="7"/>
      <c r="H19" s="7"/>
      <c r="I19" s="7"/>
      <c r="J19" s="7"/>
      <c r="K19" s="7"/>
      <c r="L19" s="7"/>
      <c r="M19" s="7"/>
      <c r="N19" s="7"/>
      <c r="O19" s="7"/>
      <c r="P19" s="7"/>
      <c r="Q19" s="7"/>
      <c r="R19" s="7"/>
      <c r="S19" s="7"/>
      <c r="T19" s="7"/>
      <c r="U19" s="7"/>
      <c r="V19" s="7"/>
      <c r="W19" s="7"/>
      <c r="X19" s="7"/>
      <c r="Y19" s="7"/>
      <c r="Z19" s="7"/>
    </row>
    <row r="20" ht="16.5" customHeight="1">
      <c r="A20" s="53" t="s">
        <v>94</v>
      </c>
      <c r="B20" s="28" t="s">
        <v>95</v>
      </c>
      <c r="C20" s="54">
        <f>AVERAGE('Compliance Checklist'!F89)</f>
        <v>0</v>
      </c>
      <c r="D20" s="7"/>
      <c r="E20" s="7"/>
      <c r="F20" s="7"/>
      <c r="G20" s="7"/>
      <c r="H20" s="7"/>
      <c r="I20" s="7"/>
      <c r="J20" s="7"/>
      <c r="K20" s="7"/>
      <c r="L20" s="7"/>
      <c r="M20" s="7"/>
      <c r="N20" s="7"/>
      <c r="O20" s="7"/>
      <c r="P20" s="7"/>
      <c r="Q20" s="7"/>
      <c r="R20" s="7"/>
      <c r="S20" s="7"/>
      <c r="T20" s="7"/>
      <c r="U20" s="7"/>
      <c r="V20" s="7"/>
      <c r="W20" s="7"/>
      <c r="X20" s="7"/>
      <c r="Y20" s="7"/>
      <c r="Z20" s="7"/>
    </row>
    <row r="21" ht="16.5" customHeight="1">
      <c r="A21" s="53" t="s">
        <v>96</v>
      </c>
      <c r="B21" s="28" t="s">
        <v>97</v>
      </c>
      <c r="C21" s="54">
        <f>AVERAGE('Compliance Checklist'!F91)</f>
        <v>0</v>
      </c>
      <c r="D21" s="7"/>
      <c r="E21" s="7"/>
      <c r="F21" s="7"/>
      <c r="G21" s="7"/>
      <c r="H21" s="7"/>
      <c r="I21" s="7"/>
      <c r="J21" s="7"/>
      <c r="K21" s="7"/>
      <c r="L21" s="7"/>
      <c r="M21" s="7"/>
      <c r="N21" s="7"/>
      <c r="O21" s="7"/>
      <c r="P21" s="7"/>
      <c r="Q21" s="7"/>
      <c r="R21" s="7"/>
      <c r="S21" s="7"/>
      <c r="T21" s="7"/>
      <c r="U21" s="7"/>
      <c r="V21" s="7"/>
      <c r="W21" s="7"/>
      <c r="X21" s="7"/>
      <c r="Y21" s="7"/>
      <c r="Z21" s="7"/>
    </row>
    <row r="22" ht="16.5" customHeight="1">
      <c r="A22" s="53" t="s">
        <v>98</v>
      </c>
      <c r="B22" s="28" t="s">
        <v>99</v>
      </c>
      <c r="C22" s="54">
        <f>AVERAGE('Compliance Checklist'!F93:F96)</f>
        <v>0</v>
      </c>
      <c r="D22" s="7"/>
      <c r="E22" s="7"/>
      <c r="F22" s="7"/>
      <c r="G22" s="7"/>
      <c r="H22" s="7"/>
      <c r="I22" s="7"/>
      <c r="J22" s="7"/>
      <c r="K22" s="7"/>
      <c r="L22" s="7"/>
      <c r="M22" s="7"/>
      <c r="N22" s="7"/>
      <c r="O22" s="7"/>
      <c r="P22" s="7"/>
      <c r="Q22" s="7"/>
      <c r="R22" s="7"/>
      <c r="S22" s="7"/>
      <c r="T22" s="7"/>
      <c r="U22" s="7"/>
      <c r="V22" s="7"/>
      <c r="W22" s="7"/>
      <c r="X22" s="7"/>
      <c r="Y22" s="7"/>
      <c r="Z22" s="7"/>
    </row>
    <row r="23" ht="16.5" customHeight="1">
      <c r="A23" s="53" t="s">
        <v>100</v>
      </c>
      <c r="B23" s="28" t="s">
        <v>101</v>
      </c>
      <c r="C23" s="54">
        <f>'Compliance Checklist'!F98</f>
        <v>0</v>
      </c>
      <c r="D23" s="7"/>
      <c r="E23" s="7"/>
      <c r="F23" s="7"/>
      <c r="G23" s="7"/>
      <c r="H23" s="7"/>
      <c r="I23" s="7"/>
      <c r="J23" s="7"/>
      <c r="K23" s="7"/>
      <c r="L23" s="7"/>
      <c r="M23" s="7"/>
      <c r="N23" s="7"/>
      <c r="O23" s="7"/>
      <c r="P23" s="7"/>
      <c r="Q23" s="7"/>
      <c r="R23" s="7"/>
      <c r="S23" s="7"/>
      <c r="T23" s="7"/>
      <c r="U23" s="7"/>
      <c r="V23" s="7"/>
      <c r="W23" s="7"/>
      <c r="X23" s="7"/>
      <c r="Y23" s="7"/>
      <c r="Z23" s="7"/>
    </row>
    <row r="24" ht="16.5" customHeight="1">
      <c r="A24" s="53" t="s">
        <v>102</v>
      </c>
      <c r="B24" s="28" t="s">
        <v>103</v>
      </c>
      <c r="C24" s="54">
        <f>AVERAGE('Compliance Checklist'!F100:F101)</f>
        <v>0</v>
      </c>
      <c r="D24" s="7"/>
      <c r="E24" s="7"/>
      <c r="F24" s="7"/>
      <c r="G24" s="7"/>
      <c r="H24" s="7"/>
      <c r="I24" s="7"/>
      <c r="J24" s="7"/>
      <c r="K24" s="7"/>
      <c r="L24" s="7"/>
      <c r="M24" s="7"/>
      <c r="N24" s="7"/>
      <c r="O24" s="7"/>
      <c r="P24" s="7"/>
      <c r="Q24" s="7"/>
      <c r="R24" s="7"/>
      <c r="S24" s="7"/>
      <c r="T24" s="7"/>
      <c r="U24" s="7"/>
      <c r="V24" s="7"/>
      <c r="W24" s="7"/>
      <c r="X24" s="7"/>
      <c r="Y24" s="7"/>
      <c r="Z24" s="7"/>
    </row>
    <row r="25" ht="16.5" customHeight="1">
      <c r="A25" s="53" t="s">
        <v>104</v>
      </c>
      <c r="B25" s="28" t="s">
        <v>105</v>
      </c>
      <c r="C25" s="54">
        <f>AVERAGE('Compliance Checklist'!F103)</f>
        <v>0</v>
      </c>
      <c r="D25" s="7"/>
      <c r="E25" s="7"/>
      <c r="F25" s="7"/>
      <c r="G25" s="7"/>
      <c r="H25" s="7"/>
      <c r="I25" s="7"/>
      <c r="J25" s="7"/>
      <c r="K25" s="7"/>
      <c r="L25" s="7"/>
      <c r="M25" s="7"/>
      <c r="N25" s="7"/>
      <c r="O25" s="7"/>
      <c r="P25" s="7"/>
      <c r="Q25" s="7"/>
      <c r="R25" s="7"/>
      <c r="S25" s="7"/>
      <c r="T25" s="7"/>
      <c r="U25" s="7"/>
      <c r="V25" s="7"/>
      <c r="W25" s="7"/>
      <c r="X25" s="7"/>
      <c r="Y25" s="7"/>
      <c r="Z25" s="7"/>
    </row>
    <row r="26" ht="16.5" customHeight="1">
      <c r="A26" s="53" t="s">
        <v>106</v>
      </c>
      <c r="B26" s="28" t="s">
        <v>107</v>
      </c>
      <c r="C26" s="54">
        <f>AVERAGE('Compliance Checklist'!F106:F108)</f>
        <v>0</v>
      </c>
      <c r="D26" s="7"/>
      <c r="E26" s="7"/>
      <c r="F26" s="7"/>
      <c r="G26" s="7"/>
      <c r="H26" s="7"/>
      <c r="I26" s="7"/>
      <c r="J26" s="7"/>
      <c r="K26" s="7"/>
      <c r="L26" s="7"/>
      <c r="M26" s="7"/>
      <c r="N26" s="7"/>
      <c r="O26" s="7"/>
      <c r="P26" s="7"/>
      <c r="Q26" s="7"/>
      <c r="R26" s="7"/>
      <c r="S26" s="7"/>
      <c r="T26" s="7"/>
      <c r="U26" s="7"/>
      <c r="V26" s="7"/>
      <c r="W26" s="7"/>
      <c r="X26" s="7"/>
      <c r="Y26" s="7"/>
      <c r="Z26" s="7"/>
    </row>
    <row r="27" ht="16.5" customHeight="1">
      <c r="A27" s="53" t="s">
        <v>108</v>
      </c>
      <c r="B27" s="28" t="s">
        <v>109</v>
      </c>
      <c r="C27" s="54">
        <f>AVERAGE('Compliance Checklist'!F110:F113)</f>
        <v>0</v>
      </c>
      <c r="D27" s="7"/>
      <c r="E27" s="7"/>
      <c r="F27" s="7"/>
      <c r="G27" s="7"/>
      <c r="H27" s="7"/>
      <c r="I27" s="7"/>
      <c r="J27" s="7"/>
      <c r="K27" s="7"/>
      <c r="L27" s="7"/>
      <c r="M27" s="7"/>
      <c r="N27" s="7"/>
      <c r="O27" s="7"/>
      <c r="P27" s="7"/>
      <c r="Q27" s="7"/>
      <c r="R27" s="7"/>
      <c r="S27" s="7"/>
      <c r="T27" s="7"/>
      <c r="U27" s="7"/>
      <c r="V27" s="7"/>
      <c r="W27" s="7"/>
      <c r="X27" s="7"/>
      <c r="Y27" s="7"/>
      <c r="Z27" s="7"/>
    </row>
    <row r="28" ht="16.5" customHeight="1">
      <c r="A28" s="53" t="s">
        <v>110</v>
      </c>
      <c r="B28" s="28" t="s">
        <v>111</v>
      </c>
      <c r="C28" s="54">
        <f>AVERAGE('Compliance Checklist'!F116:F118)</f>
        <v>0</v>
      </c>
      <c r="D28" s="7"/>
      <c r="E28" s="7"/>
      <c r="F28" s="7"/>
      <c r="G28" s="7"/>
      <c r="H28" s="7"/>
      <c r="I28" s="7"/>
      <c r="J28" s="7"/>
      <c r="K28" s="7"/>
      <c r="L28" s="7"/>
      <c r="M28" s="7"/>
      <c r="N28" s="7"/>
      <c r="O28" s="7"/>
      <c r="P28" s="7"/>
      <c r="Q28" s="7"/>
      <c r="R28" s="7"/>
      <c r="S28" s="7"/>
      <c r="T28" s="7"/>
      <c r="U28" s="7"/>
      <c r="V28" s="7"/>
      <c r="W28" s="7"/>
      <c r="X28" s="7"/>
      <c r="Y28" s="7"/>
      <c r="Z28" s="7"/>
    </row>
    <row r="29" ht="16.5" customHeight="1">
      <c r="A29" s="53" t="s">
        <v>112</v>
      </c>
      <c r="B29" s="28" t="s">
        <v>113</v>
      </c>
      <c r="C29" s="54">
        <f>AVERAGE('Compliance Checklist'!F120:F128)</f>
        <v>0</v>
      </c>
      <c r="D29" s="7"/>
      <c r="E29" s="7"/>
      <c r="F29" s="7"/>
      <c r="G29" s="7"/>
      <c r="H29" s="7"/>
      <c r="I29" s="7"/>
      <c r="J29" s="7"/>
      <c r="K29" s="7"/>
      <c r="L29" s="7"/>
      <c r="M29" s="7"/>
      <c r="N29" s="7"/>
      <c r="O29" s="7"/>
      <c r="P29" s="7"/>
      <c r="Q29" s="7"/>
      <c r="R29" s="7"/>
      <c r="S29" s="7"/>
      <c r="T29" s="7"/>
      <c r="U29" s="7"/>
      <c r="V29" s="7"/>
      <c r="W29" s="7"/>
      <c r="X29" s="7"/>
      <c r="Y29" s="7"/>
      <c r="Z29" s="7"/>
    </row>
    <row r="30" ht="16.5" customHeight="1">
      <c r="A30" s="53" t="s">
        <v>114</v>
      </c>
      <c r="B30" s="28" t="s">
        <v>115</v>
      </c>
      <c r="C30" s="54">
        <f>AVERAGE('Compliance Checklist'!F130)</f>
        <v>0</v>
      </c>
      <c r="D30" s="7"/>
      <c r="E30" s="7"/>
      <c r="F30" s="7"/>
      <c r="G30" s="7"/>
      <c r="H30" s="7"/>
      <c r="I30" s="7"/>
      <c r="J30" s="7"/>
      <c r="K30" s="7"/>
      <c r="L30" s="7"/>
      <c r="M30" s="7"/>
      <c r="N30" s="7"/>
      <c r="O30" s="7"/>
      <c r="P30" s="7"/>
      <c r="Q30" s="7"/>
      <c r="R30" s="7"/>
      <c r="S30" s="7"/>
      <c r="T30" s="7"/>
      <c r="U30" s="7"/>
      <c r="V30" s="7"/>
      <c r="W30" s="7"/>
      <c r="X30" s="7"/>
      <c r="Y30" s="7"/>
      <c r="Z30" s="7"/>
    </row>
    <row r="31" ht="16.5" customHeight="1">
      <c r="A31" s="53" t="s">
        <v>116</v>
      </c>
      <c r="B31" s="28" t="s">
        <v>117</v>
      </c>
      <c r="C31" s="54">
        <f>AVERAGE('Compliance Checklist'!F133:F135)</f>
        <v>0</v>
      </c>
      <c r="D31" s="7"/>
      <c r="E31" s="7"/>
      <c r="F31" s="7"/>
      <c r="G31" s="7"/>
      <c r="H31" s="7"/>
      <c r="I31" s="7"/>
      <c r="J31" s="7"/>
      <c r="K31" s="7"/>
      <c r="L31" s="7"/>
      <c r="M31" s="7"/>
      <c r="N31" s="7"/>
      <c r="O31" s="7"/>
      <c r="P31" s="7"/>
      <c r="Q31" s="7"/>
      <c r="R31" s="7"/>
      <c r="S31" s="7"/>
      <c r="T31" s="7"/>
      <c r="U31" s="7"/>
      <c r="V31" s="7"/>
      <c r="W31" s="7"/>
      <c r="X31" s="7"/>
      <c r="Y31" s="7"/>
      <c r="Z31" s="7"/>
    </row>
    <row r="32" ht="16.5" customHeight="1">
      <c r="A32" s="53" t="s">
        <v>118</v>
      </c>
      <c r="B32" s="28" t="s">
        <v>119</v>
      </c>
      <c r="C32" s="54">
        <f>AVERAGE('Compliance Checklist'!F137:F138)</f>
        <v>0</v>
      </c>
      <c r="D32" s="7"/>
      <c r="E32" s="7"/>
      <c r="F32" s="7"/>
      <c r="G32" s="7"/>
      <c r="H32" s="7"/>
      <c r="I32" s="7"/>
      <c r="J32" s="7"/>
      <c r="K32" s="7"/>
      <c r="L32" s="7"/>
      <c r="M32" s="7"/>
      <c r="N32" s="7"/>
      <c r="O32" s="7"/>
      <c r="P32" s="7"/>
      <c r="Q32" s="7"/>
      <c r="R32" s="7"/>
      <c r="S32" s="7"/>
      <c r="T32" s="7"/>
      <c r="U32" s="7"/>
      <c r="V32" s="7"/>
      <c r="W32" s="7"/>
      <c r="X32" s="7"/>
      <c r="Y32" s="7"/>
      <c r="Z32" s="7"/>
    </row>
    <row r="33" ht="16.5" customHeight="1">
      <c r="A33" s="53" t="s">
        <v>120</v>
      </c>
      <c r="B33" s="28" t="s">
        <v>121</v>
      </c>
      <c r="C33" s="54">
        <f>AVERAGE('Compliance Checklist'!F141:F147)</f>
        <v>0</v>
      </c>
      <c r="D33" s="7"/>
      <c r="E33" s="7"/>
      <c r="F33" s="7"/>
      <c r="G33" s="7"/>
      <c r="H33" s="7"/>
      <c r="I33" s="7"/>
      <c r="J33" s="7"/>
      <c r="K33" s="7"/>
      <c r="L33" s="7"/>
      <c r="M33" s="7"/>
      <c r="N33" s="7"/>
      <c r="O33" s="7"/>
      <c r="P33" s="7"/>
      <c r="Q33" s="7"/>
      <c r="R33" s="7"/>
      <c r="S33" s="7"/>
      <c r="T33" s="7"/>
      <c r="U33" s="7"/>
      <c r="V33" s="7"/>
      <c r="W33" s="7"/>
      <c r="X33" s="7"/>
      <c r="Y33" s="7"/>
      <c r="Z33" s="7"/>
    </row>
    <row r="34" ht="16.5" customHeight="1">
      <c r="A34" s="53" t="s">
        <v>122</v>
      </c>
      <c r="B34" s="28" t="s">
        <v>123</v>
      </c>
      <c r="C34" s="54">
        <f>AVERAGE('Compliance Checklist'!F150:F152)</f>
        <v>0</v>
      </c>
      <c r="D34" s="7"/>
      <c r="E34" s="7"/>
      <c r="F34" s="7"/>
      <c r="G34" s="7"/>
      <c r="H34" s="7"/>
      <c r="I34" s="7"/>
      <c r="J34" s="7"/>
      <c r="K34" s="7"/>
      <c r="L34" s="7"/>
      <c r="M34" s="7"/>
      <c r="N34" s="7"/>
      <c r="O34" s="7"/>
      <c r="P34" s="7"/>
      <c r="Q34" s="7"/>
      <c r="R34" s="7"/>
      <c r="S34" s="7"/>
      <c r="T34" s="7"/>
      <c r="U34" s="7"/>
      <c r="V34" s="7"/>
      <c r="W34" s="7"/>
      <c r="X34" s="7"/>
      <c r="Y34" s="7"/>
      <c r="Z34" s="7"/>
    </row>
    <row r="35" ht="16.5" customHeight="1">
      <c r="A35" s="53" t="s">
        <v>124</v>
      </c>
      <c r="B35" s="28" t="s">
        <v>125</v>
      </c>
      <c r="C35" s="54">
        <f>AVERAGE('Compliance Checklist'!F154)</f>
        <v>0</v>
      </c>
      <c r="D35" s="7"/>
      <c r="E35" s="7"/>
      <c r="F35" s="7"/>
      <c r="G35" s="7"/>
      <c r="H35" s="7"/>
      <c r="I35" s="7"/>
      <c r="J35" s="7"/>
      <c r="K35" s="7"/>
      <c r="L35" s="7"/>
      <c r="M35" s="7"/>
      <c r="N35" s="7"/>
      <c r="O35" s="7"/>
      <c r="P35" s="7"/>
      <c r="Q35" s="7"/>
      <c r="R35" s="7"/>
      <c r="S35" s="7"/>
      <c r="T35" s="7"/>
      <c r="U35" s="7"/>
      <c r="V35" s="7"/>
      <c r="W35" s="7"/>
      <c r="X35" s="7"/>
      <c r="Y35" s="7"/>
      <c r="Z35" s="7"/>
    </row>
    <row r="36" ht="16.5" customHeight="1">
      <c r="A36" s="53" t="s">
        <v>126</v>
      </c>
      <c r="B36" s="28" t="s">
        <v>127</v>
      </c>
      <c r="C36" s="54">
        <f>AVERAGE('Compliance Checklist'!F157:F161)</f>
        <v>0</v>
      </c>
      <c r="D36" s="7"/>
      <c r="E36" s="7"/>
      <c r="F36" s="7"/>
      <c r="G36" s="7"/>
      <c r="H36" s="7"/>
      <c r="I36" s="7"/>
      <c r="J36" s="7"/>
      <c r="K36" s="7"/>
      <c r="L36" s="7"/>
      <c r="M36" s="7"/>
      <c r="N36" s="7"/>
      <c r="O36" s="7"/>
      <c r="P36" s="7"/>
      <c r="Q36" s="7"/>
      <c r="R36" s="7"/>
      <c r="S36" s="7"/>
      <c r="T36" s="7"/>
      <c r="U36" s="7"/>
      <c r="V36" s="7"/>
      <c r="W36" s="7"/>
      <c r="X36" s="7"/>
      <c r="Y36" s="7"/>
      <c r="Z36" s="7"/>
    </row>
    <row r="37" ht="16.5" customHeight="1">
      <c r="A37" s="53" t="s">
        <v>128</v>
      </c>
      <c r="B37" s="28" t="s">
        <v>129</v>
      </c>
      <c r="C37" s="54">
        <f>AVERAGE('Compliance Checklist'!F163:F165)</f>
        <v>0</v>
      </c>
      <c r="D37" s="7"/>
      <c r="E37" s="7"/>
      <c r="F37" s="7"/>
      <c r="G37" s="7"/>
      <c r="H37" s="7"/>
      <c r="I37" s="7"/>
      <c r="J37" s="7"/>
      <c r="K37" s="7"/>
      <c r="L37" s="7"/>
      <c r="M37" s="7"/>
      <c r="N37" s="7"/>
      <c r="O37" s="7"/>
      <c r="P37" s="7"/>
      <c r="Q37" s="7"/>
      <c r="R37" s="7"/>
      <c r="S37" s="7"/>
      <c r="T37" s="7"/>
      <c r="U37" s="7"/>
      <c r="V37" s="7"/>
      <c r="W37" s="7"/>
      <c r="X37" s="7"/>
      <c r="Y37" s="7"/>
      <c r="Z37" s="7"/>
    </row>
    <row r="38" ht="19.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9.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9.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9.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9.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9.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9.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9.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9.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9.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9.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9.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9.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9.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9.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9.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9.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9.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9.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9.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9.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9.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9.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9.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9.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9.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9.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9.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9.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9.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9.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9.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9.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9.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9.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9.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9.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9.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9.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9.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9.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9.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9.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9.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9.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9.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9.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9.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9.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9.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9.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9.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9.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9.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9.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9.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9.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9.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9.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9.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9.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9.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9.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9.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9.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9.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9.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9.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9.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9.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9.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9.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9.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9.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9.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9.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9.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9.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9.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9.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9.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9.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9.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9.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9.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9.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9.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9.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9.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9.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9.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9.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9.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9.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9.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9.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9.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9.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9.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9.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9.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9.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9.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9.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9.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9.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9.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9.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9.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9.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9.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9.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9.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9.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9.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9.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9.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9.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9.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9.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9.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9.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9.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9.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9.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C1"/>
  </mergeCells>
  <conditionalFormatting sqref="C3:C37">
    <cfRule type="cellIs" dxfId="0" priority="1" stopIfTrue="1" operator="greaterThan">
      <formula>0.75</formula>
    </cfRule>
  </conditionalFormatting>
  <conditionalFormatting sqref="C3:C37">
    <cfRule type="cellIs" dxfId="1" priority="2" stopIfTrue="1" operator="lessThan">
      <formula>0.25</formula>
    </cfRule>
  </conditionalFormatting>
  <printOptions/>
  <pageMargins bottom="0.944882" footer="0.0" header="0.0" left="0.472441" right="0.433071" top="1.28"/>
  <pageSetup orientation="portrait"/>
  <headerFooter>
    <oddHeader>&amp;L5B9BD5www.halkynconsulting.co.uk&amp;R5B9BD5info@halkynconsulting.co.uk</oddHeader>
    <oddFooter>&amp;L00000011/06/2017&amp;C000000Page &amp;P of &amp;R000000Halkyn Consulting Ltd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1" width="5.36"/>
    <col customWidth="1" min="2" max="2" width="8.55"/>
    <col customWidth="1" min="3" max="3" width="17.36"/>
    <col customWidth="1" min="4" max="4" width="52.82"/>
    <col customWidth="1" min="5" max="5" width="21.09"/>
    <col customWidth="1" min="6" max="6" width="8.27"/>
    <col customWidth="1" min="7" max="26" width="5.27"/>
  </cols>
  <sheetData>
    <row r="1" ht="16.5" customHeight="1">
      <c r="A1" s="55" t="s">
        <v>130</v>
      </c>
      <c r="B1" s="56"/>
      <c r="C1" s="57" t="s">
        <v>131</v>
      </c>
      <c r="D1" s="56"/>
      <c r="E1" s="57" t="s">
        <v>132</v>
      </c>
      <c r="F1" s="58"/>
      <c r="G1" s="7"/>
      <c r="H1" s="7"/>
      <c r="I1" s="7"/>
      <c r="J1" s="7"/>
      <c r="K1" s="7"/>
      <c r="L1" s="7"/>
      <c r="M1" s="7"/>
      <c r="N1" s="7"/>
      <c r="O1" s="7"/>
      <c r="P1" s="7"/>
      <c r="Q1" s="7"/>
      <c r="R1" s="7"/>
      <c r="S1" s="7"/>
      <c r="T1" s="7"/>
      <c r="U1" s="7"/>
      <c r="V1" s="7"/>
      <c r="W1" s="7"/>
      <c r="X1" s="7"/>
      <c r="Y1" s="7"/>
      <c r="Z1" s="7"/>
    </row>
    <row r="2" ht="15.75" customHeight="1">
      <c r="A2" s="59" t="s">
        <v>133</v>
      </c>
      <c r="B2" s="60" t="s">
        <v>2</v>
      </c>
      <c r="C2" s="61" t="s">
        <v>3</v>
      </c>
      <c r="D2" s="61" t="s">
        <v>134</v>
      </c>
      <c r="E2" s="60" t="s">
        <v>135</v>
      </c>
      <c r="F2" s="62" t="s">
        <v>4</v>
      </c>
      <c r="G2" s="7"/>
      <c r="H2" s="7"/>
      <c r="I2" s="7"/>
      <c r="J2" s="7"/>
      <c r="K2" s="7"/>
      <c r="L2" s="7"/>
      <c r="M2" s="7"/>
      <c r="N2" s="7"/>
      <c r="O2" s="7"/>
      <c r="P2" s="7"/>
      <c r="Q2" s="7"/>
      <c r="R2" s="7"/>
      <c r="S2" s="7"/>
      <c r="T2" s="7"/>
      <c r="U2" s="7"/>
      <c r="V2" s="7"/>
      <c r="W2" s="7"/>
      <c r="X2" s="7"/>
      <c r="Y2" s="7"/>
      <c r="Z2" s="7"/>
    </row>
    <row r="3" ht="19.5" customHeight="1">
      <c r="A3" s="63"/>
      <c r="B3" s="64" t="s">
        <v>5</v>
      </c>
      <c r="C3" s="65" t="s">
        <v>6</v>
      </c>
      <c r="D3" s="3"/>
      <c r="E3" s="3"/>
      <c r="F3" s="66"/>
      <c r="G3" s="7"/>
      <c r="H3" s="7"/>
      <c r="I3" s="7"/>
      <c r="J3" s="7"/>
      <c r="K3" s="7"/>
      <c r="L3" s="7"/>
      <c r="M3" s="7"/>
      <c r="N3" s="7"/>
      <c r="O3" s="7"/>
      <c r="P3" s="7"/>
      <c r="Q3" s="7"/>
      <c r="R3" s="7"/>
      <c r="S3" s="7"/>
      <c r="T3" s="7"/>
      <c r="U3" s="7"/>
      <c r="V3" s="7"/>
      <c r="W3" s="7"/>
      <c r="X3" s="7"/>
      <c r="Y3" s="7"/>
      <c r="Z3" s="7"/>
    </row>
    <row r="4" ht="21.0" customHeight="1">
      <c r="A4" s="67"/>
      <c r="B4" s="68" t="s">
        <v>60</v>
      </c>
      <c r="C4" s="69" t="s">
        <v>61</v>
      </c>
      <c r="D4" s="3"/>
      <c r="E4" s="3"/>
      <c r="F4" s="66"/>
      <c r="G4" s="7"/>
      <c r="H4" s="7"/>
      <c r="I4" s="7"/>
      <c r="J4" s="7"/>
      <c r="K4" s="7"/>
      <c r="L4" s="7"/>
      <c r="M4" s="7"/>
      <c r="N4" s="7"/>
      <c r="O4" s="7"/>
      <c r="P4" s="7"/>
      <c r="Q4" s="7"/>
      <c r="R4" s="7"/>
      <c r="S4" s="7"/>
      <c r="T4" s="7"/>
      <c r="U4" s="7"/>
      <c r="V4" s="7"/>
      <c r="W4" s="7"/>
      <c r="X4" s="7"/>
      <c r="Y4" s="7"/>
      <c r="Z4" s="7"/>
    </row>
    <row r="5" ht="75.0" customHeight="1">
      <c r="A5" s="70" t="s">
        <v>136</v>
      </c>
      <c r="B5" s="13" t="s">
        <v>137</v>
      </c>
      <c r="C5" s="28" t="s">
        <v>138</v>
      </c>
      <c r="D5" s="28" t="s">
        <v>139</v>
      </c>
      <c r="E5" s="71"/>
      <c r="F5" s="72">
        <v>0.0</v>
      </c>
      <c r="G5" s="7"/>
      <c r="H5" s="7"/>
      <c r="I5" s="7"/>
      <c r="J5" s="7"/>
      <c r="K5" s="7"/>
      <c r="L5" s="7"/>
      <c r="M5" s="7"/>
      <c r="N5" s="7"/>
      <c r="O5" s="7"/>
      <c r="P5" s="7"/>
      <c r="Q5" s="7"/>
      <c r="R5" s="7"/>
      <c r="S5" s="7"/>
      <c r="T5" s="7"/>
      <c r="U5" s="7"/>
      <c r="V5" s="7"/>
      <c r="W5" s="7"/>
      <c r="X5" s="7"/>
      <c r="Y5" s="7"/>
      <c r="Z5" s="7"/>
    </row>
    <row r="6" ht="90.0" customHeight="1">
      <c r="A6" s="70" t="s">
        <v>136</v>
      </c>
      <c r="B6" s="13" t="s">
        <v>140</v>
      </c>
      <c r="C6" s="28" t="s">
        <v>141</v>
      </c>
      <c r="D6" s="28" t="s">
        <v>142</v>
      </c>
      <c r="E6" s="71"/>
      <c r="F6" s="72">
        <v>0.0</v>
      </c>
      <c r="G6" s="7"/>
      <c r="H6" s="7"/>
      <c r="I6" s="7"/>
      <c r="J6" s="7"/>
      <c r="K6" s="7"/>
      <c r="L6" s="7"/>
      <c r="M6" s="7"/>
      <c r="N6" s="7"/>
      <c r="O6" s="7"/>
      <c r="P6" s="7"/>
      <c r="Q6" s="7"/>
      <c r="R6" s="7"/>
      <c r="S6" s="7"/>
      <c r="T6" s="7"/>
      <c r="U6" s="7"/>
      <c r="V6" s="7"/>
      <c r="W6" s="7"/>
      <c r="X6" s="7"/>
      <c r="Y6" s="7"/>
      <c r="Z6" s="7"/>
    </row>
    <row r="7" ht="21.0" customHeight="1">
      <c r="A7" s="73"/>
      <c r="B7" s="64" t="s">
        <v>8</v>
      </c>
      <c r="C7" s="74" t="s">
        <v>9</v>
      </c>
      <c r="D7" s="3"/>
      <c r="E7" s="3"/>
      <c r="F7" s="66"/>
      <c r="G7" s="7"/>
      <c r="H7" s="7"/>
      <c r="I7" s="7"/>
      <c r="J7" s="7"/>
      <c r="K7" s="7"/>
      <c r="L7" s="7"/>
      <c r="M7" s="7"/>
      <c r="N7" s="7"/>
      <c r="O7" s="7"/>
      <c r="P7" s="7"/>
      <c r="Q7" s="7"/>
      <c r="R7" s="7"/>
      <c r="S7" s="7"/>
      <c r="T7" s="7"/>
      <c r="U7" s="7"/>
      <c r="V7" s="7"/>
      <c r="W7" s="7"/>
      <c r="X7" s="7"/>
      <c r="Y7" s="7"/>
      <c r="Z7" s="7"/>
    </row>
    <row r="8" ht="21.0" customHeight="1">
      <c r="A8" s="75"/>
      <c r="B8" s="68" t="s">
        <v>62</v>
      </c>
      <c r="C8" s="69" t="s">
        <v>63</v>
      </c>
      <c r="D8" s="3"/>
      <c r="E8" s="3"/>
      <c r="F8" s="66"/>
      <c r="G8" s="7"/>
      <c r="H8" s="7"/>
      <c r="I8" s="7"/>
      <c r="J8" s="7"/>
      <c r="K8" s="7"/>
      <c r="L8" s="7"/>
      <c r="M8" s="7"/>
      <c r="N8" s="7"/>
      <c r="O8" s="7"/>
      <c r="P8" s="7"/>
      <c r="Q8" s="7"/>
      <c r="R8" s="7"/>
      <c r="S8" s="7"/>
      <c r="T8" s="7"/>
      <c r="U8" s="7"/>
      <c r="V8" s="7"/>
      <c r="W8" s="7"/>
      <c r="X8" s="7"/>
      <c r="Y8" s="7"/>
      <c r="Z8" s="7"/>
    </row>
    <row r="9" ht="75.0" customHeight="1">
      <c r="A9" s="70" t="s">
        <v>136</v>
      </c>
      <c r="B9" s="13" t="s">
        <v>143</v>
      </c>
      <c r="C9" s="28" t="s">
        <v>144</v>
      </c>
      <c r="D9" s="28" t="s">
        <v>145</v>
      </c>
      <c r="E9" s="76"/>
      <c r="F9" s="72">
        <v>0.0</v>
      </c>
      <c r="G9" s="7"/>
      <c r="H9" s="7"/>
      <c r="I9" s="7"/>
      <c r="J9" s="7"/>
      <c r="K9" s="7"/>
      <c r="L9" s="7"/>
      <c r="M9" s="7"/>
      <c r="N9" s="7"/>
      <c r="O9" s="7"/>
      <c r="P9" s="7"/>
      <c r="Q9" s="7"/>
      <c r="R9" s="7"/>
      <c r="S9" s="7"/>
      <c r="T9" s="7"/>
      <c r="U9" s="7"/>
      <c r="V9" s="7"/>
      <c r="W9" s="7"/>
      <c r="X9" s="7"/>
      <c r="Y9" s="7"/>
      <c r="Z9" s="7"/>
    </row>
    <row r="10" ht="75.0" customHeight="1">
      <c r="A10" s="70" t="s">
        <v>136</v>
      </c>
      <c r="B10" s="13" t="s">
        <v>146</v>
      </c>
      <c r="C10" s="28" t="s">
        <v>147</v>
      </c>
      <c r="D10" s="28" t="s">
        <v>148</v>
      </c>
      <c r="E10" s="76"/>
      <c r="F10" s="72">
        <v>0.0</v>
      </c>
      <c r="G10" s="7"/>
      <c r="H10" s="7"/>
      <c r="I10" s="7"/>
      <c r="J10" s="7"/>
      <c r="K10" s="7"/>
      <c r="L10" s="7"/>
      <c r="M10" s="7"/>
      <c r="N10" s="7"/>
      <c r="O10" s="7"/>
      <c r="P10" s="7"/>
      <c r="Q10" s="7"/>
      <c r="R10" s="7"/>
      <c r="S10" s="7"/>
      <c r="T10" s="7"/>
      <c r="U10" s="7"/>
      <c r="V10" s="7"/>
      <c r="W10" s="7"/>
      <c r="X10" s="7"/>
      <c r="Y10" s="7"/>
      <c r="Z10" s="7"/>
    </row>
    <row r="11" ht="72.0" customHeight="1">
      <c r="A11" s="70" t="s">
        <v>136</v>
      </c>
      <c r="B11" s="13" t="s">
        <v>149</v>
      </c>
      <c r="C11" s="28" t="s">
        <v>150</v>
      </c>
      <c r="D11" s="28" t="s">
        <v>151</v>
      </c>
      <c r="E11" s="76"/>
      <c r="F11" s="72">
        <v>0.0</v>
      </c>
      <c r="G11" s="7"/>
      <c r="H11" s="7"/>
      <c r="I11" s="7"/>
      <c r="J11" s="7"/>
      <c r="K11" s="7"/>
      <c r="L11" s="7"/>
      <c r="M11" s="7"/>
      <c r="N11" s="7"/>
      <c r="O11" s="7"/>
      <c r="P11" s="7"/>
      <c r="Q11" s="7"/>
      <c r="R11" s="7"/>
      <c r="S11" s="7"/>
      <c r="T11" s="7"/>
      <c r="U11" s="7"/>
      <c r="V11" s="7"/>
      <c r="W11" s="7"/>
      <c r="X11" s="7"/>
      <c r="Y11" s="7"/>
      <c r="Z11" s="7"/>
    </row>
    <row r="12" ht="60.0" customHeight="1">
      <c r="A12" s="70" t="s">
        <v>136</v>
      </c>
      <c r="B12" s="13" t="s">
        <v>152</v>
      </c>
      <c r="C12" s="28" t="s">
        <v>153</v>
      </c>
      <c r="D12" s="28" t="s">
        <v>154</v>
      </c>
      <c r="E12" s="76"/>
      <c r="F12" s="72">
        <v>0.0</v>
      </c>
      <c r="G12" s="7"/>
      <c r="H12" s="7"/>
      <c r="I12" s="7"/>
      <c r="J12" s="7"/>
      <c r="K12" s="7"/>
      <c r="L12" s="7"/>
      <c r="M12" s="7"/>
      <c r="N12" s="7"/>
      <c r="O12" s="7"/>
      <c r="P12" s="7"/>
      <c r="Q12" s="7"/>
      <c r="R12" s="7"/>
      <c r="S12" s="7"/>
      <c r="T12" s="7"/>
      <c r="U12" s="7"/>
      <c r="V12" s="7"/>
      <c r="W12" s="7"/>
      <c r="X12" s="7"/>
      <c r="Y12" s="7"/>
      <c r="Z12" s="7"/>
    </row>
    <row r="13" ht="54.75" customHeight="1">
      <c r="A13" s="70" t="s">
        <v>136</v>
      </c>
      <c r="B13" s="13" t="s">
        <v>155</v>
      </c>
      <c r="C13" s="28" t="s">
        <v>156</v>
      </c>
      <c r="D13" s="28" t="s">
        <v>157</v>
      </c>
      <c r="E13" s="76"/>
      <c r="F13" s="72">
        <v>0.0</v>
      </c>
      <c r="G13" s="7"/>
      <c r="H13" s="7"/>
      <c r="I13" s="7"/>
      <c r="J13" s="7"/>
      <c r="K13" s="7"/>
      <c r="L13" s="7"/>
      <c r="M13" s="7"/>
      <c r="N13" s="7"/>
      <c r="O13" s="7"/>
      <c r="P13" s="7"/>
      <c r="Q13" s="7"/>
      <c r="R13" s="7"/>
      <c r="S13" s="7"/>
      <c r="T13" s="7"/>
      <c r="U13" s="7"/>
      <c r="V13" s="7"/>
      <c r="W13" s="7"/>
      <c r="X13" s="7"/>
      <c r="Y13" s="7"/>
      <c r="Z13" s="7"/>
    </row>
    <row r="14" ht="21.0" customHeight="1">
      <c r="A14" s="67"/>
      <c r="B14" s="68" t="s">
        <v>64</v>
      </c>
      <c r="C14" s="77" t="s">
        <v>65</v>
      </c>
      <c r="D14" s="3"/>
      <c r="E14" s="3"/>
      <c r="F14" s="66"/>
      <c r="G14" s="7"/>
      <c r="H14" s="7"/>
      <c r="I14" s="7"/>
      <c r="J14" s="7"/>
      <c r="K14" s="7"/>
      <c r="L14" s="7"/>
      <c r="M14" s="7"/>
      <c r="N14" s="7"/>
      <c r="O14" s="7"/>
      <c r="P14" s="7"/>
      <c r="Q14" s="7"/>
      <c r="R14" s="7"/>
      <c r="S14" s="7"/>
      <c r="T14" s="7"/>
      <c r="U14" s="7"/>
      <c r="V14" s="7"/>
      <c r="W14" s="7"/>
      <c r="X14" s="7"/>
      <c r="Y14" s="7"/>
      <c r="Z14" s="7"/>
    </row>
    <row r="15" ht="105.0" customHeight="1">
      <c r="A15" s="70" t="s">
        <v>136</v>
      </c>
      <c r="B15" s="13" t="s">
        <v>158</v>
      </c>
      <c r="C15" s="28" t="s">
        <v>159</v>
      </c>
      <c r="D15" s="28" t="s">
        <v>160</v>
      </c>
      <c r="E15" s="76"/>
      <c r="F15" s="72">
        <v>0.0</v>
      </c>
      <c r="G15" s="7"/>
      <c r="H15" s="7"/>
      <c r="I15" s="7"/>
      <c r="J15" s="7"/>
      <c r="K15" s="7"/>
      <c r="L15" s="7"/>
      <c r="M15" s="7"/>
      <c r="N15" s="7"/>
      <c r="O15" s="7"/>
      <c r="P15" s="7"/>
      <c r="Q15" s="7"/>
      <c r="R15" s="7"/>
      <c r="S15" s="7"/>
      <c r="T15" s="7"/>
      <c r="U15" s="7"/>
      <c r="V15" s="7"/>
      <c r="W15" s="7"/>
      <c r="X15" s="7"/>
      <c r="Y15" s="7"/>
      <c r="Z15" s="7"/>
    </row>
    <row r="16" ht="90.0" customHeight="1">
      <c r="A16" s="70" t="s">
        <v>136</v>
      </c>
      <c r="B16" s="13" t="s">
        <v>161</v>
      </c>
      <c r="C16" s="28" t="s">
        <v>162</v>
      </c>
      <c r="D16" s="28" t="s">
        <v>163</v>
      </c>
      <c r="E16" s="76"/>
      <c r="F16" s="72">
        <v>0.0</v>
      </c>
      <c r="G16" s="7"/>
      <c r="H16" s="7"/>
      <c r="I16" s="7"/>
      <c r="J16" s="7"/>
      <c r="K16" s="7"/>
      <c r="L16" s="7"/>
      <c r="M16" s="7"/>
      <c r="N16" s="7"/>
      <c r="O16" s="7"/>
      <c r="P16" s="7"/>
      <c r="Q16" s="7"/>
      <c r="R16" s="7"/>
      <c r="S16" s="7"/>
      <c r="T16" s="7"/>
      <c r="U16" s="7"/>
      <c r="V16" s="7"/>
      <c r="W16" s="7"/>
      <c r="X16" s="7"/>
      <c r="Y16" s="7"/>
      <c r="Z16" s="7"/>
    </row>
    <row r="17" ht="21.0" customHeight="1">
      <c r="A17" s="73"/>
      <c r="B17" s="64" t="s">
        <v>10</v>
      </c>
      <c r="C17" s="74" t="s">
        <v>12</v>
      </c>
      <c r="D17" s="3"/>
      <c r="E17" s="3"/>
      <c r="F17" s="66"/>
      <c r="G17" s="7"/>
      <c r="H17" s="7"/>
      <c r="I17" s="7"/>
      <c r="J17" s="7"/>
      <c r="K17" s="7"/>
      <c r="L17" s="7"/>
      <c r="M17" s="7"/>
      <c r="N17" s="7"/>
      <c r="O17" s="7"/>
      <c r="P17" s="7"/>
      <c r="Q17" s="7"/>
      <c r="R17" s="7"/>
      <c r="S17" s="7"/>
      <c r="T17" s="7"/>
      <c r="U17" s="7"/>
      <c r="V17" s="7"/>
      <c r="W17" s="7"/>
      <c r="X17" s="7"/>
      <c r="Y17" s="7"/>
      <c r="Z17" s="7"/>
    </row>
    <row r="18" ht="19.5" customHeight="1">
      <c r="A18" s="78"/>
      <c r="B18" s="68" t="s">
        <v>66</v>
      </c>
      <c r="C18" s="77" t="s">
        <v>67</v>
      </c>
      <c r="D18" s="3"/>
      <c r="E18" s="3"/>
      <c r="F18" s="66"/>
      <c r="G18" s="7"/>
      <c r="H18" s="7"/>
      <c r="I18" s="7"/>
      <c r="J18" s="7"/>
      <c r="K18" s="7"/>
      <c r="L18" s="7"/>
      <c r="M18" s="7"/>
      <c r="N18" s="7"/>
      <c r="O18" s="7"/>
      <c r="P18" s="7"/>
      <c r="Q18" s="7"/>
      <c r="R18" s="7"/>
      <c r="S18" s="7"/>
      <c r="T18" s="7"/>
      <c r="U18" s="7"/>
      <c r="V18" s="7"/>
      <c r="W18" s="7"/>
      <c r="X18" s="7"/>
      <c r="Y18" s="7"/>
      <c r="Z18" s="7"/>
    </row>
    <row r="19" ht="135.0" customHeight="1">
      <c r="A19" s="70" t="s">
        <v>136</v>
      </c>
      <c r="B19" s="13" t="s">
        <v>164</v>
      </c>
      <c r="C19" s="28" t="s">
        <v>165</v>
      </c>
      <c r="D19" s="28" t="s">
        <v>166</v>
      </c>
      <c r="E19" s="76"/>
      <c r="F19" s="72">
        <v>0.0</v>
      </c>
      <c r="G19" s="7"/>
      <c r="H19" s="7"/>
      <c r="I19" s="7"/>
      <c r="J19" s="7"/>
      <c r="K19" s="7"/>
      <c r="L19" s="7"/>
      <c r="M19" s="7"/>
      <c r="N19" s="7"/>
      <c r="O19" s="7"/>
      <c r="P19" s="7"/>
      <c r="Q19" s="7"/>
      <c r="R19" s="7"/>
      <c r="S19" s="7"/>
      <c r="T19" s="7"/>
      <c r="U19" s="7"/>
      <c r="V19" s="7"/>
      <c r="W19" s="7"/>
      <c r="X19" s="7"/>
      <c r="Y19" s="7"/>
      <c r="Z19" s="7"/>
    </row>
    <row r="20" ht="105.0" customHeight="1">
      <c r="A20" s="70" t="s">
        <v>136</v>
      </c>
      <c r="B20" s="13" t="s">
        <v>167</v>
      </c>
      <c r="C20" s="28" t="s">
        <v>168</v>
      </c>
      <c r="D20" s="28" t="s">
        <v>169</v>
      </c>
      <c r="E20" s="76"/>
      <c r="F20" s="72">
        <v>0.0</v>
      </c>
      <c r="G20" s="7"/>
      <c r="H20" s="7"/>
      <c r="I20" s="7"/>
      <c r="J20" s="7"/>
      <c r="K20" s="7"/>
      <c r="L20" s="7"/>
      <c r="M20" s="7"/>
      <c r="N20" s="7"/>
      <c r="O20" s="7"/>
      <c r="P20" s="7"/>
      <c r="Q20" s="7"/>
      <c r="R20" s="7"/>
      <c r="S20" s="7"/>
      <c r="T20" s="7"/>
      <c r="U20" s="7"/>
      <c r="V20" s="7"/>
      <c r="W20" s="7"/>
      <c r="X20" s="7"/>
      <c r="Y20" s="7"/>
      <c r="Z20" s="7"/>
    </row>
    <row r="21" ht="19.5" customHeight="1">
      <c r="A21" s="78"/>
      <c r="B21" s="68" t="s">
        <v>68</v>
      </c>
      <c r="C21" s="77" t="s">
        <v>69</v>
      </c>
      <c r="D21" s="3"/>
      <c r="E21" s="3"/>
      <c r="F21" s="66"/>
      <c r="G21" s="7"/>
      <c r="H21" s="7"/>
      <c r="I21" s="7"/>
      <c r="J21" s="7"/>
      <c r="K21" s="7"/>
      <c r="L21" s="7"/>
      <c r="M21" s="7"/>
      <c r="N21" s="7"/>
      <c r="O21" s="7"/>
      <c r="P21" s="7"/>
      <c r="Q21" s="7"/>
      <c r="R21" s="7"/>
      <c r="S21" s="7"/>
      <c r="T21" s="7"/>
      <c r="U21" s="7"/>
      <c r="V21" s="7"/>
      <c r="W21" s="7"/>
      <c r="X21" s="7"/>
      <c r="Y21" s="7"/>
      <c r="Z21" s="7"/>
    </row>
    <row r="22" ht="120.0" customHeight="1">
      <c r="A22" s="70" t="s">
        <v>136</v>
      </c>
      <c r="B22" s="13" t="s">
        <v>170</v>
      </c>
      <c r="C22" s="28" t="s">
        <v>171</v>
      </c>
      <c r="D22" s="28" t="s">
        <v>172</v>
      </c>
      <c r="E22" s="76"/>
      <c r="F22" s="72">
        <v>0.0</v>
      </c>
      <c r="G22" s="7"/>
      <c r="H22" s="7"/>
      <c r="I22" s="7"/>
      <c r="J22" s="7"/>
      <c r="K22" s="7"/>
      <c r="L22" s="7"/>
      <c r="M22" s="7"/>
      <c r="N22" s="7"/>
      <c r="O22" s="7"/>
      <c r="P22" s="7"/>
      <c r="Q22" s="7"/>
      <c r="R22" s="7"/>
      <c r="S22" s="7"/>
      <c r="T22" s="7"/>
      <c r="U22" s="7"/>
      <c r="V22" s="7"/>
      <c r="W22" s="7"/>
      <c r="X22" s="7"/>
      <c r="Y22" s="7"/>
      <c r="Z22" s="7"/>
    </row>
    <row r="23" ht="75.0" customHeight="1">
      <c r="A23" s="70" t="s">
        <v>136</v>
      </c>
      <c r="B23" s="13" t="s">
        <v>173</v>
      </c>
      <c r="C23" s="28" t="s">
        <v>174</v>
      </c>
      <c r="D23" s="28" t="s">
        <v>175</v>
      </c>
      <c r="E23" s="76"/>
      <c r="F23" s="72">
        <v>0.0</v>
      </c>
      <c r="G23" s="7"/>
      <c r="H23" s="7"/>
      <c r="I23" s="7"/>
      <c r="J23" s="7"/>
      <c r="K23" s="7"/>
      <c r="L23" s="7"/>
      <c r="M23" s="7"/>
      <c r="N23" s="7"/>
      <c r="O23" s="7"/>
      <c r="P23" s="7"/>
      <c r="Q23" s="7"/>
      <c r="R23" s="7"/>
      <c r="S23" s="7"/>
      <c r="T23" s="7"/>
      <c r="U23" s="7"/>
      <c r="V23" s="7"/>
      <c r="W23" s="7"/>
      <c r="X23" s="7"/>
      <c r="Y23" s="7"/>
      <c r="Z23" s="7"/>
    </row>
    <row r="24" ht="105.0" customHeight="1">
      <c r="A24" s="70" t="s">
        <v>136</v>
      </c>
      <c r="B24" s="13" t="s">
        <v>176</v>
      </c>
      <c r="C24" s="28" t="s">
        <v>177</v>
      </c>
      <c r="D24" s="28" t="s">
        <v>178</v>
      </c>
      <c r="E24" s="76"/>
      <c r="F24" s="72">
        <v>0.0</v>
      </c>
      <c r="G24" s="7"/>
      <c r="H24" s="7"/>
      <c r="I24" s="7"/>
      <c r="J24" s="7"/>
      <c r="K24" s="7"/>
      <c r="L24" s="7"/>
      <c r="M24" s="7"/>
      <c r="N24" s="7"/>
      <c r="O24" s="7"/>
      <c r="P24" s="7"/>
      <c r="Q24" s="7"/>
      <c r="R24" s="7"/>
      <c r="S24" s="7"/>
      <c r="T24" s="7"/>
      <c r="U24" s="7"/>
      <c r="V24" s="7"/>
      <c r="W24" s="7"/>
      <c r="X24" s="7"/>
      <c r="Y24" s="7"/>
      <c r="Z24" s="7"/>
    </row>
    <row r="25" ht="19.5" customHeight="1">
      <c r="A25" s="78"/>
      <c r="B25" s="68" t="s">
        <v>70</v>
      </c>
      <c r="C25" s="77" t="s">
        <v>71</v>
      </c>
      <c r="D25" s="3"/>
      <c r="E25" s="3"/>
      <c r="F25" s="66"/>
      <c r="G25" s="7"/>
      <c r="H25" s="7"/>
      <c r="I25" s="7"/>
      <c r="J25" s="7"/>
      <c r="K25" s="7"/>
      <c r="L25" s="7"/>
      <c r="M25" s="7"/>
      <c r="N25" s="7"/>
      <c r="O25" s="7"/>
      <c r="P25" s="7"/>
      <c r="Q25" s="7"/>
      <c r="R25" s="7"/>
      <c r="S25" s="7"/>
      <c r="T25" s="7"/>
      <c r="U25" s="7"/>
      <c r="V25" s="7"/>
      <c r="W25" s="7"/>
      <c r="X25" s="7"/>
      <c r="Y25" s="7"/>
      <c r="Z25" s="7"/>
    </row>
    <row r="26" ht="150.0" customHeight="1">
      <c r="A26" s="70" t="s">
        <v>136</v>
      </c>
      <c r="B26" s="13" t="s">
        <v>179</v>
      </c>
      <c r="C26" s="28" t="s">
        <v>180</v>
      </c>
      <c r="D26" s="28" t="s">
        <v>181</v>
      </c>
      <c r="E26" s="76"/>
      <c r="F26" s="72">
        <v>0.0</v>
      </c>
      <c r="G26" s="7"/>
      <c r="H26" s="7"/>
      <c r="I26" s="7"/>
      <c r="J26" s="7"/>
      <c r="K26" s="7"/>
      <c r="L26" s="7"/>
      <c r="M26" s="7"/>
      <c r="N26" s="7"/>
      <c r="O26" s="7"/>
      <c r="P26" s="7"/>
      <c r="Q26" s="7"/>
      <c r="R26" s="7"/>
      <c r="S26" s="7"/>
      <c r="T26" s="7"/>
      <c r="U26" s="7"/>
      <c r="V26" s="7"/>
      <c r="W26" s="7"/>
      <c r="X26" s="7"/>
      <c r="Y26" s="7"/>
      <c r="Z26" s="7"/>
    </row>
    <row r="27" ht="19.5" customHeight="1">
      <c r="A27" s="63"/>
      <c r="B27" s="64" t="s">
        <v>13</v>
      </c>
      <c r="C27" s="74" t="s">
        <v>14</v>
      </c>
      <c r="D27" s="3"/>
      <c r="E27" s="3"/>
      <c r="F27" s="66"/>
      <c r="G27" s="7"/>
      <c r="H27" s="7"/>
      <c r="I27" s="7"/>
      <c r="J27" s="7"/>
      <c r="K27" s="7"/>
      <c r="L27" s="7"/>
      <c r="M27" s="7"/>
      <c r="N27" s="7"/>
      <c r="O27" s="7"/>
      <c r="P27" s="7"/>
      <c r="Q27" s="7"/>
      <c r="R27" s="7"/>
      <c r="S27" s="7"/>
      <c r="T27" s="7"/>
      <c r="U27" s="7"/>
      <c r="V27" s="7"/>
      <c r="W27" s="7"/>
      <c r="X27" s="7"/>
      <c r="Y27" s="7"/>
      <c r="Z27" s="7"/>
    </row>
    <row r="28" ht="19.5" customHeight="1">
      <c r="A28" s="78"/>
      <c r="B28" s="68" t="s">
        <v>72</v>
      </c>
      <c r="C28" s="77" t="s">
        <v>73</v>
      </c>
      <c r="D28" s="3"/>
      <c r="E28" s="3"/>
      <c r="F28" s="66"/>
      <c r="G28" s="7"/>
      <c r="H28" s="7"/>
      <c r="I28" s="7"/>
      <c r="J28" s="7"/>
      <c r="K28" s="7"/>
      <c r="L28" s="7"/>
      <c r="M28" s="7"/>
      <c r="N28" s="7"/>
      <c r="O28" s="7"/>
      <c r="P28" s="7"/>
      <c r="Q28" s="7"/>
      <c r="R28" s="7"/>
      <c r="S28" s="7"/>
      <c r="T28" s="7"/>
      <c r="U28" s="7"/>
      <c r="V28" s="7"/>
      <c r="W28" s="7"/>
      <c r="X28" s="7"/>
      <c r="Y28" s="7"/>
      <c r="Z28" s="7"/>
    </row>
    <row r="29" ht="75.0" customHeight="1">
      <c r="A29" s="70" t="s">
        <v>136</v>
      </c>
      <c r="B29" s="13" t="s">
        <v>182</v>
      </c>
      <c r="C29" s="28" t="s">
        <v>183</v>
      </c>
      <c r="D29" s="28" t="s">
        <v>184</v>
      </c>
      <c r="E29" s="76"/>
      <c r="F29" s="72">
        <v>0.0</v>
      </c>
      <c r="G29" s="7"/>
      <c r="H29" s="7"/>
      <c r="I29" s="7"/>
      <c r="J29" s="7"/>
      <c r="K29" s="7"/>
      <c r="L29" s="7"/>
      <c r="M29" s="7"/>
      <c r="N29" s="7"/>
      <c r="O29" s="7"/>
      <c r="P29" s="7"/>
      <c r="Q29" s="7"/>
      <c r="R29" s="7"/>
      <c r="S29" s="7"/>
      <c r="T29" s="7"/>
      <c r="U29" s="7"/>
      <c r="V29" s="7"/>
      <c r="W29" s="7"/>
      <c r="X29" s="7"/>
      <c r="Y29" s="7"/>
      <c r="Z29" s="7"/>
    </row>
    <row r="30" ht="45.0" customHeight="1">
      <c r="A30" s="70" t="s">
        <v>136</v>
      </c>
      <c r="B30" s="13" t="s">
        <v>185</v>
      </c>
      <c r="C30" s="28" t="s">
        <v>186</v>
      </c>
      <c r="D30" s="28" t="s">
        <v>187</v>
      </c>
      <c r="E30" s="76"/>
      <c r="F30" s="72">
        <v>0.0</v>
      </c>
      <c r="G30" s="7"/>
      <c r="H30" s="7"/>
      <c r="I30" s="7"/>
      <c r="J30" s="7"/>
      <c r="K30" s="7"/>
      <c r="L30" s="7"/>
      <c r="M30" s="7"/>
      <c r="N30" s="7"/>
      <c r="O30" s="7"/>
      <c r="P30" s="7"/>
      <c r="Q30" s="7"/>
      <c r="R30" s="7"/>
      <c r="S30" s="7"/>
      <c r="T30" s="7"/>
      <c r="U30" s="7"/>
      <c r="V30" s="7"/>
      <c r="W30" s="7"/>
      <c r="X30" s="7"/>
      <c r="Y30" s="7"/>
      <c r="Z30" s="7"/>
    </row>
    <row r="31" ht="60.0" customHeight="1">
      <c r="A31" s="70" t="s">
        <v>136</v>
      </c>
      <c r="B31" s="13" t="s">
        <v>188</v>
      </c>
      <c r="C31" s="28" t="s">
        <v>189</v>
      </c>
      <c r="D31" s="28" t="s">
        <v>190</v>
      </c>
      <c r="E31" s="76"/>
      <c r="F31" s="72">
        <v>0.0</v>
      </c>
      <c r="G31" s="7"/>
      <c r="H31" s="7"/>
      <c r="I31" s="7"/>
      <c r="J31" s="7"/>
      <c r="K31" s="7"/>
      <c r="L31" s="7"/>
      <c r="M31" s="7"/>
      <c r="N31" s="7"/>
      <c r="O31" s="7"/>
      <c r="P31" s="7"/>
      <c r="Q31" s="7"/>
      <c r="R31" s="7"/>
      <c r="S31" s="7"/>
      <c r="T31" s="7"/>
      <c r="U31" s="7"/>
      <c r="V31" s="7"/>
      <c r="W31" s="7"/>
      <c r="X31" s="7"/>
      <c r="Y31" s="7"/>
      <c r="Z31" s="7"/>
    </row>
    <row r="32" ht="75.0" customHeight="1">
      <c r="A32" s="70" t="s">
        <v>136</v>
      </c>
      <c r="B32" s="13" t="s">
        <v>191</v>
      </c>
      <c r="C32" s="28" t="s">
        <v>192</v>
      </c>
      <c r="D32" s="28" t="s">
        <v>193</v>
      </c>
      <c r="E32" s="76"/>
      <c r="F32" s="72">
        <v>0.0</v>
      </c>
      <c r="G32" s="7"/>
      <c r="H32" s="7"/>
      <c r="I32" s="7"/>
      <c r="J32" s="7"/>
      <c r="K32" s="7"/>
      <c r="L32" s="7"/>
      <c r="M32" s="7"/>
      <c r="N32" s="7"/>
      <c r="O32" s="7"/>
      <c r="P32" s="7"/>
      <c r="Q32" s="7"/>
      <c r="R32" s="7"/>
      <c r="S32" s="7"/>
      <c r="T32" s="7"/>
      <c r="U32" s="7"/>
      <c r="V32" s="7"/>
      <c r="W32" s="7"/>
      <c r="X32" s="7"/>
      <c r="Y32" s="7"/>
      <c r="Z32" s="7"/>
    </row>
    <row r="33" ht="19.5" customHeight="1">
      <c r="A33" s="78"/>
      <c r="B33" s="68" t="s">
        <v>74</v>
      </c>
      <c r="C33" s="77" t="s">
        <v>75</v>
      </c>
      <c r="D33" s="3"/>
      <c r="E33" s="3"/>
      <c r="F33" s="66"/>
      <c r="G33" s="7"/>
      <c r="H33" s="7"/>
      <c r="I33" s="7"/>
      <c r="J33" s="7"/>
      <c r="K33" s="7"/>
      <c r="L33" s="7"/>
      <c r="M33" s="7"/>
      <c r="N33" s="7"/>
      <c r="O33" s="7"/>
      <c r="P33" s="7"/>
      <c r="Q33" s="7"/>
      <c r="R33" s="7"/>
      <c r="S33" s="7"/>
      <c r="T33" s="7"/>
      <c r="U33" s="7"/>
      <c r="V33" s="7"/>
      <c r="W33" s="7"/>
      <c r="X33" s="7"/>
      <c r="Y33" s="7"/>
      <c r="Z33" s="7"/>
    </row>
    <row r="34" ht="75.0" customHeight="1">
      <c r="A34" s="70" t="s">
        <v>136</v>
      </c>
      <c r="B34" s="13" t="s">
        <v>194</v>
      </c>
      <c r="C34" s="28" t="s">
        <v>195</v>
      </c>
      <c r="D34" s="28" t="s">
        <v>196</v>
      </c>
      <c r="E34" s="76"/>
      <c r="F34" s="72">
        <v>0.0</v>
      </c>
      <c r="G34" s="7"/>
      <c r="H34" s="7"/>
      <c r="I34" s="7"/>
      <c r="J34" s="7"/>
      <c r="K34" s="7"/>
      <c r="L34" s="7"/>
      <c r="M34" s="7"/>
      <c r="N34" s="7"/>
      <c r="O34" s="7"/>
      <c r="P34" s="7"/>
      <c r="Q34" s="7"/>
      <c r="R34" s="7"/>
      <c r="S34" s="7"/>
      <c r="T34" s="7"/>
      <c r="U34" s="7"/>
      <c r="V34" s="7"/>
      <c r="W34" s="7"/>
      <c r="X34" s="7"/>
      <c r="Y34" s="7"/>
      <c r="Z34" s="7"/>
    </row>
    <row r="35" ht="45.0" customHeight="1">
      <c r="A35" s="70" t="s">
        <v>136</v>
      </c>
      <c r="B35" s="13" t="s">
        <v>197</v>
      </c>
      <c r="C35" s="28" t="s">
        <v>198</v>
      </c>
      <c r="D35" s="28" t="s">
        <v>199</v>
      </c>
      <c r="E35" s="76"/>
      <c r="F35" s="72">
        <v>0.0</v>
      </c>
      <c r="G35" s="7"/>
      <c r="H35" s="7"/>
      <c r="I35" s="7"/>
      <c r="J35" s="7"/>
      <c r="K35" s="7"/>
      <c r="L35" s="7"/>
      <c r="M35" s="7"/>
      <c r="N35" s="7"/>
      <c r="O35" s="7"/>
      <c r="P35" s="7"/>
      <c r="Q35" s="7"/>
      <c r="R35" s="7"/>
      <c r="S35" s="7"/>
      <c r="T35" s="7"/>
      <c r="U35" s="7"/>
      <c r="V35" s="7"/>
      <c r="W35" s="7"/>
      <c r="X35" s="7"/>
      <c r="Y35" s="7"/>
      <c r="Z35" s="7"/>
    </row>
    <row r="36" ht="60.0" customHeight="1">
      <c r="A36" s="70" t="s">
        <v>136</v>
      </c>
      <c r="B36" s="13" t="s">
        <v>200</v>
      </c>
      <c r="C36" s="28" t="s">
        <v>201</v>
      </c>
      <c r="D36" s="28" t="s">
        <v>202</v>
      </c>
      <c r="E36" s="76"/>
      <c r="F36" s="72">
        <v>0.0</v>
      </c>
      <c r="G36" s="7"/>
      <c r="H36" s="7"/>
      <c r="I36" s="7"/>
      <c r="J36" s="7"/>
      <c r="K36" s="7"/>
      <c r="L36" s="7"/>
      <c r="M36" s="7"/>
      <c r="N36" s="7"/>
      <c r="O36" s="7"/>
      <c r="P36" s="7"/>
      <c r="Q36" s="7"/>
      <c r="R36" s="7"/>
      <c r="S36" s="7"/>
      <c r="T36" s="7"/>
      <c r="U36" s="7"/>
      <c r="V36" s="7"/>
      <c r="W36" s="7"/>
      <c r="X36" s="7"/>
      <c r="Y36" s="7"/>
      <c r="Z36" s="7"/>
    </row>
    <row r="37" ht="19.5" customHeight="1">
      <c r="A37" s="78"/>
      <c r="B37" s="68" t="s">
        <v>76</v>
      </c>
      <c r="C37" s="77" t="s">
        <v>77</v>
      </c>
      <c r="D37" s="3"/>
      <c r="E37" s="3"/>
      <c r="F37" s="66"/>
      <c r="G37" s="7"/>
      <c r="H37" s="7"/>
      <c r="I37" s="7"/>
      <c r="J37" s="7"/>
      <c r="K37" s="7"/>
      <c r="L37" s="7"/>
      <c r="M37" s="7"/>
      <c r="N37" s="7"/>
      <c r="O37" s="7"/>
      <c r="P37" s="7"/>
      <c r="Q37" s="7"/>
      <c r="R37" s="7"/>
      <c r="S37" s="7"/>
      <c r="T37" s="7"/>
      <c r="U37" s="7"/>
      <c r="V37" s="7"/>
      <c r="W37" s="7"/>
      <c r="X37" s="7"/>
      <c r="Y37" s="7"/>
      <c r="Z37" s="7"/>
    </row>
    <row r="38" ht="105.0" customHeight="1">
      <c r="A38" s="70" t="s">
        <v>136</v>
      </c>
      <c r="B38" s="13" t="s">
        <v>203</v>
      </c>
      <c r="C38" s="28" t="s">
        <v>204</v>
      </c>
      <c r="D38" s="28" t="s">
        <v>205</v>
      </c>
      <c r="E38" s="76"/>
      <c r="F38" s="72">
        <v>0.0</v>
      </c>
      <c r="G38" s="7"/>
      <c r="H38" s="7"/>
      <c r="I38" s="7"/>
      <c r="J38" s="7"/>
      <c r="K38" s="7"/>
      <c r="L38" s="7"/>
      <c r="M38" s="7"/>
      <c r="N38" s="7"/>
      <c r="O38" s="7"/>
      <c r="P38" s="7"/>
      <c r="Q38" s="7"/>
      <c r="R38" s="7"/>
      <c r="S38" s="7"/>
      <c r="T38" s="7"/>
      <c r="U38" s="7"/>
      <c r="V38" s="7"/>
      <c r="W38" s="7"/>
      <c r="X38" s="7"/>
      <c r="Y38" s="7"/>
      <c r="Z38" s="7"/>
    </row>
    <row r="39" ht="84.75" customHeight="1">
      <c r="A39" s="70" t="s">
        <v>136</v>
      </c>
      <c r="B39" s="13" t="s">
        <v>206</v>
      </c>
      <c r="C39" s="28" t="s">
        <v>207</v>
      </c>
      <c r="D39" s="28" t="s">
        <v>208</v>
      </c>
      <c r="E39" s="76"/>
      <c r="F39" s="72">
        <v>0.0</v>
      </c>
      <c r="G39" s="7"/>
      <c r="H39" s="7"/>
      <c r="I39" s="7"/>
      <c r="J39" s="7"/>
      <c r="K39" s="7"/>
      <c r="L39" s="7"/>
      <c r="M39" s="7"/>
      <c r="N39" s="7"/>
      <c r="O39" s="7"/>
      <c r="P39" s="7"/>
      <c r="Q39" s="7"/>
      <c r="R39" s="7"/>
      <c r="S39" s="7"/>
      <c r="T39" s="7"/>
      <c r="U39" s="7"/>
      <c r="V39" s="7"/>
      <c r="W39" s="7"/>
      <c r="X39" s="7"/>
      <c r="Y39" s="7"/>
      <c r="Z39" s="7"/>
    </row>
    <row r="40" ht="90.0" customHeight="1">
      <c r="A40" s="70" t="s">
        <v>136</v>
      </c>
      <c r="B40" s="13" t="s">
        <v>209</v>
      </c>
      <c r="C40" s="28" t="s">
        <v>201</v>
      </c>
      <c r="D40" s="28" t="s">
        <v>210</v>
      </c>
      <c r="E40" s="76"/>
      <c r="F40" s="72">
        <v>0.0</v>
      </c>
      <c r="G40" s="7"/>
      <c r="H40" s="7"/>
      <c r="I40" s="7"/>
      <c r="J40" s="7"/>
      <c r="K40" s="7"/>
      <c r="L40" s="7"/>
      <c r="M40" s="7"/>
      <c r="N40" s="7"/>
      <c r="O40" s="7"/>
      <c r="P40" s="7"/>
      <c r="Q40" s="7"/>
      <c r="R40" s="7"/>
      <c r="S40" s="7"/>
      <c r="T40" s="7"/>
      <c r="U40" s="7"/>
      <c r="V40" s="7"/>
      <c r="W40" s="7"/>
      <c r="X40" s="7"/>
      <c r="Y40" s="7"/>
      <c r="Z40" s="7"/>
    </row>
    <row r="41" ht="19.5" customHeight="1">
      <c r="A41" s="63"/>
      <c r="B41" s="64" t="s">
        <v>16</v>
      </c>
      <c r="C41" s="74" t="s">
        <v>17</v>
      </c>
      <c r="D41" s="3"/>
      <c r="E41" s="3"/>
      <c r="F41" s="66"/>
      <c r="G41" s="7"/>
      <c r="H41" s="7"/>
      <c r="I41" s="7"/>
      <c r="J41" s="7"/>
      <c r="K41" s="7"/>
      <c r="L41" s="7"/>
      <c r="M41" s="7"/>
      <c r="N41" s="7"/>
      <c r="O41" s="7"/>
      <c r="P41" s="7"/>
      <c r="Q41" s="7"/>
      <c r="R41" s="7"/>
      <c r="S41" s="7"/>
      <c r="T41" s="7"/>
      <c r="U41" s="7"/>
      <c r="V41" s="7"/>
      <c r="W41" s="7"/>
      <c r="X41" s="7"/>
      <c r="Y41" s="7"/>
      <c r="Z41" s="7"/>
    </row>
    <row r="42" ht="19.5" customHeight="1">
      <c r="A42" s="78"/>
      <c r="B42" s="68" t="s">
        <v>78</v>
      </c>
      <c r="C42" s="77" t="s">
        <v>79</v>
      </c>
      <c r="D42" s="3"/>
      <c r="E42" s="3"/>
      <c r="F42" s="66"/>
      <c r="G42" s="7"/>
      <c r="H42" s="7"/>
      <c r="I42" s="7"/>
      <c r="J42" s="7"/>
      <c r="K42" s="7"/>
      <c r="L42" s="7"/>
      <c r="M42" s="7"/>
      <c r="N42" s="7"/>
      <c r="O42" s="7"/>
      <c r="P42" s="7"/>
      <c r="Q42" s="7"/>
      <c r="R42" s="7"/>
      <c r="S42" s="7"/>
      <c r="T42" s="7"/>
      <c r="U42" s="7"/>
      <c r="V42" s="7"/>
      <c r="W42" s="7"/>
      <c r="X42" s="7"/>
      <c r="Y42" s="7"/>
      <c r="Z42" s="7"/>
    </row>
    <row r="43" ht="90.0" customHeight="1">
      <c r="A43" s="70" t="s">
        <v>136</v>
      </c>
      <c r="B43" s="13" t="s">
        <v>211</v>
      </c>
      <c r="C43" s="28" t="s">
        <v>212</v>
      </c>
      <c r="D43" s="28" t="s">
        <v>213</v>
      </c>
      <c r="E43" s="76"/>
      <c r="F43" s="72">
        <v>0.0</v>
      </c>
      <c r="G43" s="7"/>
      <c r="H43" s="7"/>
      <c r="I43" s="7"/>
      <c r="J43" s="7"/>
      <c r="K43" s="7"/>
      <c r="L43" s="7"/>
      <c r="M43" s="7"/>
      <c r="N43" s="7"/>
      <c r="O43" s="7"/>
      <c r="P43" s="7"/>
      <c r="Q43" s="7"/>
      <c r="R43" s="7"/>
      <c r="S43" s="7"/>
      <c r="T43" s="7"/>
      <c r="U43" s="7"/>
      <c r="V43" s="7"/>
      <c r="W43" s="7"/>
      <c r="X43" s="7"/>
      <c r="Y43" s="7"/>
      <c r="Z43" s="7"/>
    </row>
    <row r="44" ht="75.0" customHeight="1">
      <c r="A44" s="70" t="s">
        <v>136</v>
      </c>
      <c r="B44" s="13" t="s">
        <v>214</v>
      </c>
      <c r="C44" s="28" t="s">
        <v>215</v>
      </c>
      <c r="D44" s="28" t="s">
        <v>216</v>
      </c>
      <c r="E44" s="76"/>
      <c r="F44" s="72">
        <v>0.0</v>
      </c>
      <c r="G44" s="7"/>
      <c r="H44" s="7"/>
      <c r="I44" s="7"/>
      <c r="J44" s="7"/>
      <c r="K44" s="7"/>
      <c r="L44" s="7"/>
      <c r="M44" s="7"/>
      <c r="N44" s="7"/>
      <c r="O44" s="7"/>
      <c r="P44" s="7"/>
      <c r="Q44" s="7"/>
      <c r="R44" s="7"/>
      <c r="S44" s="7"/>
      <c r="T44" s="7"/>
      <c r="U44" s="7"/>
      <c r="V44" s="7"/>
      <c r="W44" s="7"/>
      <c r="X44" s="7"/>
      <c r="Y44" s="7"/>
      <c r="Z44" s="7"/>
    </row>
    <row r="45" ht="19.5" customHeight="1">
      <c r="A45" s="78"/>
      <c r="B45" s="68" t="s">
        <v>80</v>
      </c>
      <c r="C45" s="77" t="s">
        <v>81</v>
      </c>
      <c r="D45" s="3"/>
      <c r="E45" s="3"/>
      <c r="F45" s="66"/>
      <c r="G45" s="7"/>
      <c r="H45" s="7"/>
      <c r="I45" s="7"/>
      <c r="J45" s="7"/>
      <c r="K45" s="7"/>
      <c r="L45" s="7"/>
      <c r="M45" s="7"/>
      <c r="N45" s="7"/>
      <c r="O45" s="7"/>
      <c r="P45" s="7"/>
      <c r="Q45" s="7"/>
      <c r="R45" s="7"/>
      <c r="S45" s="7"/>
      <c r="T45" s="7"/>
      <c r="U45" s="7"/>
      <c r="V45" s="7"/>
      <c r="W45" s="7"/>
      <c r="X45" s="7"/>
      <c r="Y45" s="7"/>
      <c r="Z45" s="7"/>
    </row>
    <row r="46" ht="55.5" customHeight="1">
      <c r="A46" s="70" t="s">
        <v>136</v>
      </c>
      <c r="B46" s="13" t="s">
        <v>217</v>
      </c>
      <c r="C46" s="28" t="s">
        <v>218</v>
      </c>
      <c r="D46" s="28" t="s">
        <v>219</v>
      </c>
      <c r="E46" s="76"/>
      <c r="F46" s="72">
        <v>0.0</v>
      </c>
      <c r="G46" s="7"/>
      <c r="H46" s="7"/>
      <c r="I46" s="7"/>
      <c r="J46" s="7"/>
      <c r="K46" s="7"/>
      <c r="L46" s="7"/>
      <c r="M46" s="7"/>
      <c r="N46" s="7"/>
      <c r="O46" s="7"/>
      <c r="P46" s="7"/>
      <c r="Q46" s="7"/>
      <c r="R46" s="7"/>
      <c r="S46" s="7"/>
      <c r="T46" s="7"/>
      <c r="U46" s="7"/>
      <c r="V46" s="7"/>
      <c r="W46" s="7"/>
      <c r="X46" s="7"/>
      <c r="Y46" s="7"/>
      <c r="Z46" s="7"/>
    </row>
    <row r="47" ht="66.75" customHeight="1">
      <c r="A47" s="70" t="s">
        <v>136</v>
      </c>
      <c r="B47" s="13" t="s">
        <v>220</v>
      </c>
      <c r="C47" s="28" t="s">
        <v>221</v>
      </c>
      <c r="D47" s="28" t="s">
        <v>222</v>
      </c>
      <c r="E47" s="76"/>
      <c r="F47" s="72">
        <v>0.0</v>
      </c>
      <c r="G47" s="7"/>
      <c r="H47" s="7"/>
      <c r="I47" s="7"/>
      <c r="J47" s="7"/>
      <c r="K47" s="7"/>
      <c r="L47" s="7"/>
      <c r="M47" s="7"/>
      <c r="N47" s="7"/>
      <c r="O47" s="7"/>
      <c r="P47" s="7"/>
      <c r="Q47" s="7"/>
      <c r="R47" s="7"/>
      <c r="S47" s="7"/>
      <c r="T47" s="7"/>
      <c r="U47" s="7"/>
      <c r="V47" s="7"/>
      <c r="W47" s="7"/>
      <c r="X47" s="7"/>
      <c r="Y47" s="7"/>
      <c r="Z47" s="7"/>
    </row>
    <row r="48" ht="54.0" customHeight="1">
      <c r="A48" s="70" t="s">
        <v>136</v>
      </c>
      <c r="B48" s="13" t="s">
        <v>223</v>
      </c>
      <c r="C48" s="28" t="s">
        <v>224</v>
      </c>
      <c r="D48" s="28" t="s">
        <v>225</v>
      </c>
      <c r="E48" s="76"/>
      <c r="F48" s="72">
        <v>0.0</v>
      </c>
      <c r="G48" s="7"/>
      <c r="H48" s="7"/>
      <c r="I48" s="7"/>
      <c r="J48" s="7"/>
      <c r="K48" s="7"/>
      <c r="L48" s="7"/>
      <c r="M48" s="7"/>
      <c r="N48" s="7"/>
      <c r="O48" s="7"/>
      <c r="P48" s="7"/>
      <c r="Q48" s="7"/>
      <c r="R48" s="7"/>
      <c r="S48" s="7"/>
      <c r="T48" s="7"/>
      <c r="U48" s="7"/>
      <c r="V48" s="7"/>
      <c r="W48" s="7"/>
      <c r="X48" s="7"/>
      <c r="Y48" s="7"/>
      <c r="Z48" s="7"/>
    </row>
    <row r="49" ht="78.75" customHeight="1">
      <c r="A49" s="70" t="s">
        <v>136</v>
      </c>
      <c r="B49" s="13" t="s">
        <v>226</v>
      </c>
      <c r="C49" s="28" t="s">
        <v>227</v>
      </c>
      <c r="D49" s="28" t="s">
        <v>228</v>
      </c>
      <c r="E49" s="76"/>
      <c r="F49" s="72">
        <v>0.0</v>
      </c>
      <c r="G49" s="7"/>
      <c r="H49" s="7"/>
      <c r="I49" s="7"/>
      <c r="J49" s="7"/>
      <c r="K49" s="7"/>
      <c r="L49" s="7"/>
      <c r="M49" s="7"/>
      <c r="N49" s="7"/>
      <c r="O49" s="7"/>
      <c r="P49" s="7"/>
      <c r="Q49" s="7"/>
      <c r="R49" s="7"/>
      <c r="S49" s="7"/>
      <c r="T49" s="7"/>
      <c r="U49" s="7"/>
      <c r="V49" s="7"/>
      <c r="W49" s="7"/>
      <c r="X49" s="7"/>
      <c r="Y49" s="7"/>
      <c r="Z49" s="7"/>
    </row>
    <row r="50" ht="60.0" customHeight="1">
      <c r="A50" s="70" t="s">
        <v>136</v>
      </c>
      <c r="B50" s="13" t="s">
        <v>229</v>
      </c>
      <c r="C50" s="28" t="s">
        <v>230</v>
      </c>
      <c r="D50" s="28" t="s">
        <v>231</v>
      </c>
      <c r="E50" s="76"/>
      <c r="F50" s="72">
        <v>0.0</v>
      </c>
      <c r="G50" s="7"/>
      <c r="H50" s="7"/>
      <c r="I50" s="7"/>
      <c r="J50" s="7"/>
      <c r="K50" s="7"/>
      <c r="L50" s="7"/>
      <c r="M50" s="7"/>
      <c r="N50" s="7"/>
      <c r="O50" s="7"/>
      <c r="P50" s="7"/>
      <c r="Q50" s="7"/>
      <c r="R50" s="7"/>
      <c r="S50" s="7"/>
      <c r="T50" s="7"/>
      <c r="U50" s="7"/>
      <c r="V50" s="7"/>
      <c r="W50" s="7"/>
      <c r="X50" s="7"/>
      <c r="Y50" s="7"/>
      <c r="Z50" s="7"/>
    </row>
    <row r="51" ht="60.0" customHeight="1">
      <c r="A51" s="70" t="s">
        <v>136</v>
      </c>
      <c r="B51" s="13" t="s">
        <v>232</v>
      </c>
      <c r="C51" s="28" t="s">
        <v>233</v>
      </c>
      <c r="D51" s="28" t="s">
        <v>234</v>
      </c>
      <c r="E51" s="76"/>
      <c r="F51" s="72">
        <v>0.0</v>
      </c>
      <c r="G51" s="7"/>
      <c r="H51" s="7"/>
      <c r="I51" s="7"/>
      <c r="J51" s="7"/>
      <c r="K51" s="7"/>
      <c r="L51" s="7"/>
      <c r="M51" s="7"/>
      <c r="N51" s="7"/>
      <c r="O51" s="7"/>
      <c r="P51" s="7"/>
      <c r="Q51" s="7"/>
      <c r="R51" s="7"/>
      <c r="S51" s="7"/>
      <c r="T51" s="7"/>
      <c r="U51" s="7"/>
      <c r="V51" s="7"/>
      <c r="W51" s="7"/>
      <c r="X51" s="7"/>
      <c r="Y51" s="7"/>
      <c r="Z51" s="7"/>
    </row>
    <row r="52" ht="21.0" customHeight="1">
      <c r="A52" s="67"/>
      <c r="B52" s="68" t="s">
        <v>82</v>
      </c>
      <c r="C52" s="77" t="s">
        <v>83</v>
      </c>
      <c r="D52" s="3"/>
      <c r="E52" s="3"/>
      <c r="F52" s="66"/>
      <c r="G52" s="7"/>
      <c r="H52" s="7"/>
      <c r="I52" s="7"/>
      <c r="J52" s="7"/>
      <c r="K52" s="7"/>
      <c r="L52" s="7"/>
      <c r="M52" s="7"/>
      <c r="N52" s="7"/>
      <c r="O52" s="7"/>
      <c r="P52" s="7"/>
      <c r="Q52" s="7"/>
      <c r="R52" s="7"/>
      <c r="S52" s="7"/>
      <c r="T52" s="7"/>
      <c r="U52" s="7"/>
      <c r="V52" s="7"/>
      <c r="W52" s="7"/>
      <c r="X52" s="7"/>
      <c r="Y52" s="7"/>
      <c r="Z52" s="7"/>
    </row>
    <row r="53" ht="75.0" customHeight="1">
      <c r="A53" s="70" t="s">
        <v>136</v>
      </c>
      <c r="B53" s="13" t="s">
        <v>235</v>
      </c>
      <c r="C53" s="28" t="s">
        <v>236</v>
      </c>
      <c r="D53" s="28" t="s">
        <v>237</v>
      </c>
      <c r="E53" s="76"/>
      <c r="F53" s="72">
        <v>0.0</v>
      </c>
      <c r="G53" s="7"/>
      <c r="H53" s="7"/>
      <c r="I53" s="7"/>
      <c r="J53" s="7"/>
      <c r="K53" s="7"/>
      <c r="L53" s="7"/>
      <c r="M53" s="7"/>
      <c r="N53" s="7"/>
      <c r="O53" s="7"/>
      <c r="P53" s="7"/>
      <c r="Q53" s="7"/>
      <c r="R53" s="7"/>
      <c r="S53" s="7"/>
      <c r="T53" s="7"/>
      <c r="U53" s="7"/>
      <c r="V53" s="7"/>
      <c r="W53" s="7"/>
      <c r="X53" s="7"/>
      <c r="Y53" s="7"/>
      <c r="Z53" s="7"/>
    </row>
    <row r="54" ht="21.0" customHeight="1">
      <c r="A54" s="67"/>
      <c r="B54" s="68" t="s">
        <v>84</v>
      </c>
      <c r="C54" s="77" t="s">
        <v>85</v>
      </c>
      <c r="D54" s="3"/>
      <c r="E54" s="3"/>
      <c r="F54" s="66"/>
      <c r="G54" s="7"/>
      <c r="H54" s="7"/>
      <c r="I54" s="7"/>
      <c r="J54" s="7"/>
      <c r="K54" s="7"/>
      <c r="L54" s="7"/>
      <c r="M54" s="7"/>
      <c r="N54" s="7"/>
      <c r="O54" s="7"/>
      <c r="P54" s="7"/>
      <c r="Q54" s="7"/>
      <c r="R54" s="7"/>
      <c r="S54" s="7"/>
      <c r="T54" s="7"/>
      <c r="U54" s="7"/>
      <c r="V54" s="7"/>
      <c r="W54" s="7"/>
      <c r="X54" s="7"/>
      <c r="Y54" s="7"/>
      <c r="Z54" s="7"/>
    </row>
    <row r="55" ht="45.0" customHeight="1">
      <c r="A55" s="70" t="s">
        <v>136</v>
      </c>
      <c r="B55" s="13" t="s">
        <v>238</v>
      </c>
      <c r="C55" s="28" t="s">
        <v>239</v>
      </c>
      <c r="D55" s="28" t="s">
        <v>240</v>
      </c>
      <c r="E55" s="76"/>
      <c r="F55" s="72">
        <v>0.0</v>
      </c>
      <c r="G55" s="7"/>
      <c r="H55" s="7"/>
      <c r="I55" s="7"/>
      <c r="J55" s="7"/>
      <c r="K55" s="7"/>
      <c r="L55" s="7"/>
      <c r="M55" s="7"/>
      <c r="N55" s="7"/>
      <c r="O55" s="7"/>
      <c r="P55" s="7"/>
      <c r="Q55" s="7"/>
      <c r="R55" s="7"/>
      <c r="S55" s="7"/>
      <c r="T55" s="7"/>
      <c r="U55" s="7"/>
      <c r="V55" s="7"/>
      <c r="W55" s="7"/>
      <c r="X55" s="7"/>
      <c r="Y55" s="7"/>
      <c r="Z55" s="7"/>
    </row>
    <row r="56" ht="45.0" customHeight="1">
      <c r="A56" s="70" t="s">
        <v>136</v>
      </c>
      <c r="B56" s="13" t="s">
        <v>241</v>
      </c>
      <c r="C56" s="28" t="s">
        <v>242</v>
      </c>
      <c r="D56" s="28" t="s">
        <v>243</v>
      </c>
      <c r="E56" s="76"/>
      <c r="F56" s="72">
        <v>0.0</v>
      </c>
      <c r="G56" s="7"/>
      <c r="H56" s="7"/>
      <c r="I56" s="7"/>
      <c r="J56" s="7"/>
      <c r="K56" s="7"/>
      <c r="L56" s="7"/>
      <c r="M56" s="7"/>
      <c r="N56" s="7"/>
      <c r="O56" s="7"/>
      <c r="P56" s="7"/>
      <c r="Q56" s="7"/>
      <c r="R56" s="7"/>
      <c r="S56" s="7"/>
      <c r="T56" s="7"/>
      <c r="U56" s="7"/>
      <c r="V56" s="7"/>
      <c r="W56" s="7"/>
      <c r="X56" s="7"/>
      <c r="Y56" s="7"/>
      <c r="Z56" s="7"/>
    </row>
    <row r="57" ht="70.5" customHeight="1">
      <c r="A57" s="70" t="s">
        <v>136</v>
      </c>
      <c r="B57" s="13" t="s">
        <v>244</v>
      </c>
      <c r="C57" s="28" t="s">
        <v>245</v>
      </c>
      <c r="D57" s="28" t="s">
        <v>246</v>
      </c>
      <c r="E57" s="76"/>
      <c r="F57" s="72">
        <v>0.0</v>
      </c>
      <c r="G57" s="7"/>
      <c r="H57" s="7"/>
      <c r="I57" s="7"/>
      <c r="J57" s="7"/>
      <c r="K57" s="7"/>
      <c r="L57" s="7"/>
      <c r="M57" s="7"/>
      <c r="N57" s="7"/>
      <c r="O57" s="7"/>
      <c r="P57" s="7"/>
      <c r="Q57" s="7"/>
      <c r="R57" s="7"/>
      <c r="S57" s="7"/>
      <c r="T57" s="7"/>
      <c r="U57" s="7"/>
      <c r="V57" s="7"/>
      <c r="W57" s="7"/>
      <c r="X57" s="7"/>
      <c r="Y57" s="7"/>
      <c r="Z57" s="7"/>
    </row>
    <row r="58" ht="71.25" customHeight="1">
      <c r="A58" s="70" t="s">
        <v>136</v>
      </c>
      <c r="B58" s="13" t="s">
        <v>247</v>
      </c>
      <c r="C58" s="28" t="s">
        <v>248</v>
      </c>
      <c r="D58" s="28" t="s">
        <v>249</v>
      </c>
      <c r="E58" s="76"/>
      <c r="F58" s="72">
        <v>0.0</v>
      </c>
      <c r="G58" s="7"/>
      <c r="H58" s="7"/>
      <c r="I58" s="7"/>
      <c r="J58" s="7"/>
      <c r="K58" s="7"/>
      <c r="L58" s="7"/>
      <c r="M58" s="7"/>
      <c r="N58" s="7"/>
      <c r="O58" s="7"/>
      <c r="P58" s="7"/>
      <c r="Q58" s="7"/>
      <c r="R58" s="7"/>
      <c r="S58" s="7"/>
      <c r="T58" s="7"/>
      <c r="U58" s="7"/>
      <c r="V58" s="7"/>
      <c r="W58" s="7"/>
      <c r="X58" s="7"/>
      <c r="Y58" s="7"/>
      <c r="Z58" s="7"/>
    </row>
    <row r="59" ht="82.5" customHeight="1">
      <c r="A59" s="70" t="s">
        <v>136</v>
      </c>
      <c r="B59" s="13" t="s">
        <v>250</v>
      </c>
      <c r="C59" s="28" t="s">
        <v>251</v>
      </c>
      <c r="D59" s="28" t="s">
        <v>252</v>
      </c>
      <c r="E59" s="76"/>
      <c r="F59" s="72">
        <v>0.0</v>
      </c>
      <c r="G59" s="7"/>
      <c r="H59" s="7"/>
      <c r="I59" s="7"/>
      <c r="J59" s="7"/>
      <c r="K59" s="7"/>
      <c r="L59" s="7"/>
      <c r="M59" s="7"/>
      <c r="N59" s="7"/>
      <c r="O59" s="7"/>
      <c r="P59" s="7"/>
      <c r="Q59" s="7"/>
      <c r="R59" s="7"/>
      <c r="S59" s="7"/>
      <c r="T59" s="7"/>
      <c r="U59" s="7"/>
      <c r="V59" s="7"/>
      <c r="W59" s="7"/>
      <c r="X59" s="7"/>
      <c r="Y59" s="7"/>
      <c r="Z59" s="7"/>
    </row>
    <row r="60" ht="19.5" customHeight="1">
      <c r="A60" s="63"/>
      <c r="B60" s="64" t="s">
        <v>18</v>
      </c>
      <c r="C60" s="74" t="s">
        <v>19</v>
      </c>
      <c r="D60" s="3"/>
      <c r="E60" s="3"/>
      <c r="F60" s="66"/>
      <c r="G60" s="7"/>
      <c r="H60" s="7"/>
      <c r="I60" s="7"/>
      <c r="J60" s="7"/>
      <c r="K60" s="7"/>
      <c r="L60" s="7"/>
      <c r="M60" s="7"/>
      <c r="N60" s="7"/>
      <c r="O60" s="7"/>
      <c r="P60" s="7"/>
      <c r="Q60" s="7"/>
      <c r="R60" s="7"/>
      <c r="S60" s="7"/>
      <c r="T60" s="7"/>
      <c r="U60" s="7"/>
      <c r="V60" s="7"/>
      <c r="W60" s="7"/>
      <c r="X60" s="7"/>
      <c r="Y60" s="7"/>
      <c r="Z60" s="7"/>
    </row>
    <row r="61" ht="19.5" customHeight="1">
      <c r="A61" s="78"/>
      <c r="B61" s="68" t="s">
        <v>86</v>
      </c>
      <c r="C61" s="77" t="s">
        <v>87</v>
      </c>
      <c r="D61" s="3"/>
      <c r="E61" s="3"/>
      <c r="F61" s="66"/>
      <c r="G61" s="7"/>
      <c r="H61" s="7"/>
      <c r="I61" s="7"/>
      <c r="J61" s="7"/>
      <c r="K61" s="7"/>
      <c r="L61" s="7"/>
      <c r="M61" s="7"/>
      <c r="N61" s="7"/>
      <c r="O61" s="7"/>
      <c r="P61" s="7"/>
      <c r="Q61" s="7"/>
      <c r="R61" s="7"/>
      <c r="S61" s="7"/>
      <c r="T61" s="7"/>
      <c r="U61" s="7"/>
      <c r="V61" s="7"/>
      <c r="W61" s="7"/>
      <c r="X61" s="7"/>
      <c r="Y61" s="7"/>
      <c r="Z61" s="7"/>
    </row>
    <row r="62" ht="83.25" customHeight="1">
      <c r="A62" s="70" t="s">
        <v>136</v>
      </c>
      <c r="B62" s="13" t="s">
        <v>253</v>
      </c>
      <c r="C62" s="28" t="s">
        <v>254</v>
      </c>
      <c r="D62" s="28" t="s">
        <v>255</v>
      </c>
      <c r="E62" s="76"/>
      <c r="F62" s="72">
        <v>0.0</v>
      </c>
      <c r="G62" s="7"/>
      <c r="H62" s="7"/>
      <c r="I62" s="7"/>
      <c r="J62" s="7"/>
      <c r="K62" s="7"/>
      <c r="L62" s="7"/>
      <c r="M62" s="7"/>
      <c r="N62" s="7"/>
      <c r="O62" s="7"/>
      <c r="P62" s="7"/>
      <c r="Q62" s="7"/>
      <c r="R62" s="7"/>
      <c r="S62" s="7"/>
      <c r="T62" s="7"/>
      <c r="U62" s="7"/>
      <c r="V62" s="7"/>
      <c r="W62" s="7"/>
      <c r="X62" s="7"/>
      <c r="Y62" s="7"/>
      <c r="Z62" s="7"/>
    </row>
    <row r="63" ht="82.5" customHeight="1">
      <c r="A63" s="70" t="s">
        <v>136</v>
      </c>
      <c r="B63" s="13" t="s">
        <v>256</v>
      </c>
      <c r="C63" s="28" t="s">
        <v>257</v>
      </c>
      <c r="D63" s="28" t="s">
        <v>258</v>
      </c>
      <c r="E63" s="76"/>
      <c r="F63" s="72">
        <v>0.0</v>
      </c>
      <c r="G63" s="7"/>
      <c r="H63" s="7"/>
      <c r="I63" s="7"/>
      <c r="J63" s="7"/>
      <c r="K63" s="7"/>
      <c r="L63" s="7"/>
      <c r="M63" s="7"/>
      <c r="N63" s="7"/>
      <c r="O63" s="7"/>
      <c r="P63" s="7"/>
      <c r="Q63" s="7"/>
      <c r="R63" s="7"/>
      <c r="S63" s="7"/>
      <c r="T63" s="7"/>
      <c r="U63" s="7"/>
      <c r="V63" s="7"/>
      <c r="W63" s="7"/>
      <c r="X63" s="7"/>
      <c r="Y63" s="7"/>
      <c r="Z63" s="7"/>
    </row>
    <row r="64" ht="19.5" customHeight="1">
      <c r="A64" s="63"/>
      <c r="B64" s="64" t="s">
        <v>21</v>
      </c>
      <c r="C64" s="74" t="s">
        <v>22</v>
      </c>
      <c r="D64" s="3"/>
      <c r="E64" s="3"/>
      <c r="F64" s="66"/>
      <c r="G64" s="7"/>
      <c r="H64" s="7"/>
      <c r="I64" s="7"/>
      <c r="J64" s="7"/>
      <c r="K64" s="7"/>
      <c r="L64" s="7"/>
      <c r="M64" s="7"/>
      <c r="N64" s="7"/>
      <c r="O64" s="7"/>
      <c r="P64" s="7"/>
      <c r="Q64" s="7"/>
      <c r="R64" s="7"/>
      <c r="S64" s="7"/>
      <c r="T64" s="7"/>
      <c r="U64" s="7"/>
      <c r="V64" s="7"/>
      <c r="W64" s="7"/>
      <c r="X64" s="7"/>
      <c r="Y64" s="7"/>
      <c r="Z64" s="7"/>
    </row>
    <row r="65" ht="19.5" customHeight="1">
      <c r="A65" s="78"/>
      <c r="B65" s="68" t="s">
        <v>88</v>
      </c>
      <c r="C65" s="77" t="s">
        <v>89</v>
      </c>
      <c r="D65" s="3"/>
      <c r="E65" s="3"/>
      <c r="F65" s="66"/>
      <c r="G65" s="7"/>
      <c r="H65" s="7"/>
      <c r="I65" s="7"/>
      <c r="J65" s="7"/>
      <c r="K65" s="7"/>
      <c r="L65" s="7"/>
      <c r="M65" s="7"/>
      <c r="N65" s="7"/>
      <c r="O65" s="7"/>
      <c r="P65" s="7"/>
      <c r="Q65" s="7"/>
      <c r="R65" s="7"/>
      <c r="S65" s="7"/>
      <c r="T65" s="7"/>
      <c r="U65" s="7"/>
      <c r="V65" s="7"/>
      <c r="W65" s="7"/>
      <c r="X65" s="7"/>
      <c r="Y65" s="7"/>
      <c r="Z65" s="7"/>
    </row>
    <row r="66" ht="75.0" customHeight="1">
      <c r="A66" s="70" t="s">
        <v>136</v>
      </c>
      <c r="B66" s="13" t="s">
        <v>259</v>
      </c>
      <c r="C66" s="28" t="s">
        <v>260</v>
      </c>
      <c r="D66" s="28" t="s">
        <v>261</v>
      </c>
      <c r="E66" s="76"/>
      <c r="F66" s="72">
        <v>0.0</v>
      </c>
      <c r="G66" s="7"/>
      <c r="H66" s="7"/>
      <c r="I66" s="7"/>
      <c r="J66" s="7"/>
      <c r="K66" s="7"/>
      <c r="L66" s="7"/>
      <c r="M66" s="7"/>
      <c r="N66" s="7"/>
      <c r="O66" s="7"/>
      <c r="P66" s="7"/>
      <c r="Q66" s="7"/>
      <c r="R66" s="7"/>
      <c r="S66" s="7"/>
      <c r="T66" s="7"/>
      <c r="U66" s="7"/>
      <c r="V66" s="7"/>
      <c r="W66" s="7"/>
      <c r="X66" s="7"/>
      <c r="Y66" s="7"/>
      <c r="Z66" s="7"/>
    </row>
    <row r="67" ht="45.0" customHeight="1">
      <c r="A67" s="70" t="s">
        <v>136</v>
      </c>
      <c r="B67" s="13" t="s">
        <v>262</v>
      </c>
      <c r="C67" s="28" t="s">
        <v>263</v>
      </c>
      <c r="D67" s="28" t="s">
        <v>264</v>
      </c>
      <c r="E67" s="76"/>
      <c r="F67" s="72">
        <v>0.0</v>
      </c>
      <c r="G67" s="7"/>
      <c r="H67" s="7"/>
      <c r="I67" s="7"/>
      <c r="J67" s="7"/>
      <c r="K67" s="7"/>
      <c r="L67" s="7"/>
      <c r="M67" s="7"/>
      <c r="N67" s="7"/>
      <c r="O67" s="7"/>
      <c r="P67" s="7"/>
      <c r="Q67" s="7"/>
      <c r="R67" s="7"/>
      <c r="S67" s="7"/>
      <c r="T67" s="7"/>
      <c r="U67" s="7"/>
      <c r="V67" s="7"/>
      <c r="W67" s="7"/>
      <c r="X67" s="7"/>
      <c r="Y67" s="7"/>
      <c r="Z67" s="7"/>
    </row>
    <row r="68" ht="90.0" customHeight="1">
      <c r="A68" s="70" t="s">
        <v>136</v>
      </c>
      <c r="B68" s="13" t="s">
        <v>265</v>
      </c>
      <c r="C68" s="28" t="s">
        <v>266</v>
      </c>
      <c r="D68" s="28" t="s">
        <v>267</v>
      </c>
      <c r="E68" s="76"/>
      <c r="F68" s="72">
        <v>0.0</v>
      </c>
      <c r="G68" s="7"/>
      <c r="H68" s="7"/>
      <c r="I68" s="7"/>
      <c r="J68" s="7"/>
      <c r="K68" s="7"/>
      <c r="L68" s="7"/>
      <c r="M68" s="7"/>
      <c r="N68" s="7"/>
      <c r="O68" s="7"/>
      <c r="P68" s="7"/>
      <c r="Q68" s="7"/>
      <c r="R68" s="7"/>
      <c r="S68" s="7"/>
      <c r="T68" s="7"/>
      <c r="U68" s="7"/>
      <c r="V68" s="7"/>
      <c r="W68" s="7"/>
      <c r="X68" s="7"/>
      <c r="Y68" s="7"/>
      <c r="Z68" s="7"/>
    </row>
    <row r="69" ht="45.0" customHeight="1">
      <c r="A69" s="70" t="s">
        <v>136</v>
      </c>
      <c r="B69" s="13" t="s">
        <v>268</v>
      </c>
      <c r="C69" s="28" t="s">
        <v>269</v>
      </c>
      <c r="D69" s="28" t="s">
        <v>270</v>
      </c>
      <c r="E69" s="76"/>
      <c r="F69" s="72">
        <v>0.0</v>
      </c>
      <c r="G69" s="7"/>
      <c r="H69" s="7"/>
      <c r="I69" s="7"/>
      <c r="J69" s="7"/>
      <c r="K69" s="7"/>
      <c r="L69" s="7"/>
      <c r="M69" s="7"/>
      <c r="N69" s="7"/>
      <c r="O69" s="7"/>
      <c r="P69" s="7"/>
      <c r="Q69" s="7"/>
      <c r="R69" s="7"/>
      <c r="S69" s="7"/>
      <c r="T69" s="7"/>
      <c r="U69" s="7"/>
      <c r="V69" s="7"/>
      <c r="W69" s="7"/>
      <c r="X69" s="7"/>
      <c r="Y69" s="7"/>
      <c r="Z69" s="7"/>
    </row>
    <row r="70" ht="75.0" customHeight="1">
      <c r="A70" s="70" t="s">
        <v>136</v>
      </c>
      <c r="B70" s="13" t="s">
        <v>271</v>
      </c>
      <c r="C70" s="28" t="s">
        <v>272</v>
      </c>
      <c r="D70" s="28" t="s">
        <v>273</v>
      </c>
      <c r="E70" s="76"/>
      <c r="F70" s="72">
        <v>0.0</v>
      </c>
      <c r="G70" s="7"/>
      <c r="H70" s="7"/>
      <c r="I70" s="7"/>
      <c r="J70" s="7"/>
      <c r="K70" s="7"/>
      <c r="L70" s="7"/>
      <c r="M70" s="7"/>
      <c r="N70" s="7"/>
      <c r="O70" s="7"/>
      <c r="P70" s="7"/>
      <c r="Q70" s="7"/>
      <c r="R70" s="7"/>
      <c r="S70" s="7"/>
      <c r="T70" s="7"/>
      <c r="U70" s="7"/>
      <c r="V70" s="7"/>
      <c r="W70" s="7"/>
      <c r="X70" s="7"/>
      <c r="Y70" s="7"/>
      <c r="Z70" s="7"/>
    </row>
    <row r="71" ht="75.0" customHeight="1">
      <c r="A71" s="70" t="s">
        <v>136</v>
      </c>
      <c r="B71" s="13" t="s">
        <v>274</v>
      </c>
      <c r="C71" s="28" t="s">
        <v>275</v>
      </c>
      <c r="D71" s="28" t="s">
        <v>276</v>
      </c>
      <c r="E71" s="76"/>
      <c r="F71" s="72">
        <v>0.0</v>
      </c>
      <c r="G71" s="7"/>
      <c r="H71" s="7"/>
      <c r="I71" s="7"/>
      <c r="J71" s="7"/>
      <c r="K71" s="7"/>
      <c r="L71" s="7"/>
      <c r="M71" s="7"/>
      <c r="N71" s="7"/>
      <c r="O71" s="7"/>
      <c r="P71" s="7"/>
      <c r="Q71" s="7"/>
      <c r="R71" s="7"/>
      <c r="S71" s="7"/>
      <c r="T71" s="7"/>
      <c r="U71" s="7"/>
      <c r="V71" s="7"/>
      <c r="W71" s="7"/>
      <c r="X71" s="7"/>
      <c r="Y71" s="7"/>
      <c r="Z71" s="7"/>
    </row>
    <row r="72" ht="19.5" customHeight="1">
      <c r="A72" s="78"/>
      <c r="B72" s="68" t="s">
        <v>90</v>
      </c>
      <c r="C72" s="77" t="s">
        <v>91</v>
      </c>
      <c r="D72" s="3"/>
      <c r="E72" s="3"/>
      <c r="F72" s="66"/>
      <c r="G72" s="7"/>
      <c r="H72" s="7"/>
      <c r="I72" s="7"/>
      <c r="J72" s="7"/>
      <c r="K72" s="7"/>
      <c r="L72" s="7"/>
      <c r="M72" s="7"/>
      <c r="N72" s="7"/>
      <c r="O72" s="7"/>
      <c r="P72" s="7"/>
      <c r="Q72" s="7"/>
      <c r="R72" s="7"/>
      <c r="S72" s="7"/>
      <c r="T72" s="7"/>
      <c r="U72" s="7"/>
      <c r="V72" s="7"/>
      <c r="W72" s="7"/>
      <c r="X72" s="7"/>
      <c r="Y72" s="7"/>
      <c r="Z72" s="7"/>
    </row>
    <row r="73" ht="90.0" customHeight="1">
      <c r="A73" s="70" t="s">
        <v>136</v>
      </c>
      <c r="B73" s="13" t="s">
        <v>277</v>
      </c>
      <c r="C73" s="28" t="s">
        <v>278</v>
      </c>
      <c r="D73" s="28" t="s">
        <v>279</v>
      </c>
      <c r="E73" s="76"/>
      <c r="F73" s="72">
        <v>0.0</v>
      </c>
      <c r="G73" s="7"/>
      <c r="H73" s="7"/>
      <c r="I73" s="7"/>
      <c r="J73" s="7"/>
      <c r="K73" s="7"/>
      <c r="L73" s="7"/>
      <c r="M73" s="7"/>
      <c r="N73" s="7"/>
      <c r="O73" s="7"/>
      <c r="P73" s="7"/>
      <c r="Q73" s="7"/>
      <c r="R73" s="7"/>
      <c r="S73" s="7"/>
      <c r="T73" s="7"/>
      <c r="U73" s="7"/>
      <c r="V73" s="7"/>
      <c r="W73" s="7"/>
      <c r="X73" s="7"/>
      <c r="Y73" s="7"/>
      <c r="Z73" s="7"/>
    </row>
    <row r="74" ht="60.0" customHeight="1">
      <c r="A74" s="70" t="s">
        <v>136</v>
      </c>
      <c r="B74" s="13" t="s">
        <v>280</v>
      </c>
      <c r="C74" s="28" t="s">
        <v>281</v>
      </c>
      <c r="D74" s="28" t="s">
        <v>282</v>
      </c>
      <c r="E74" s="76"/>
      <c r="F74" s="72">
        <v>0.0</v>
      </c>
      <c r="G74" s="7"/>
      <c r="H74" s="7"/>
      <c r="I74" s="7"/>
      <c r="J74" s="7"/>
      <c r="K74" s="7"/>
      <c r="L74" s="7"/>
      <c r="M74" s="7"/>
      <c r="N74" s="7"/>
      <c r="O74" s="7"/>
      <c r="P74" s="7"/>
      <c r="Q74" s="7"/>
      <c r="R74" s="7"/>
      <c r="S74" s="7"/>
      <c r="T74" s="7"/>
      <c r="U74" s="7"/>
      <c r="V74" s="7"/>
      <c r="W74" s="7"/>
      <c r="X74" s="7"/>
      <c r="Y74" s="7"/>
      <c r="Z74" s="7"/>
    </row>
    <row r="75" ht="75.0" customHeight="1">
      <c r="A75" s="70" t="s">
        <v>136</v>
      </c>
      <c r="B75" s="13" t="s">
        <v>283</v>
      </c>
      <c r="C75" s="28" t="s">
        <v>284</v>
      </c>
      <c r="D75" s="28" t="s">
        <v>285</v>
      </c>
      <c r="E75" s="76"/>
      <c r="F75" s="72">
        <v>0.0</v>
      </c>
      <c r="G75" s="7"/>
      <c r="H75" s="7"/>
      <c r="I75" s="7"/>
      <c r="J75" s="7"/>
      <c r="K75" s="7"/>
      <c r="L75" s="7"/>
      <c r="M75" s="7"/>
      <c r="N75" s="7"/>
      <c r="O75" s="7"/>
      <c r="P75" s="7"/>
      <c r="Q75" s="7"/>
      <c r="R75" s="7"/>
      <c r="S75" s="7"/>
      <c r="T75" s="7"/>
      <c r="U75" s="7"/>
      <c r="V75" s="7"/>
      <c r="W75" s="7"/>
      <c r="X75" s="7"/>
      <c r="Y75" s="7"/>
      <c r="Z75" s="7"/>
    </row>
    <row r="76" ht="30.0" customHeight="1">
      <c r="A76" s="70" t="s">
        <v>136</v>
      </c>
      <c r="B76" s="13" t="s">
        <v>286</v>
      </c>
      <c r="C76" s="28" t="s">
        <v>287</v>
      </c>
      <c r="D76" s="28" t="s">
        <v>288</v>
      </c>
      <c r="E76" s="76"/>
      <c r="F76" s="72">
        <v>0.0</v>
      </c>
      <c r="G76" s="7"/>
      <c r="H76" s="7"/>
      <c r="I76" s="7"/>
      <c r="J76" s="7"/>
      <c r="K76" s="7"/>
      <c r="L76" s="7"/>
      <c r="M76" s="7"/>
      <c r="N76" s="7"/>
      <c r="O76" s="7"/>
      <c r="P76" s="7"/>
      <c r="Q76" s="7"/>
      <c r="R76" s="7"/>
      <c r="S76" s="7"/>
      <c r="T76" s="7"/>
      <c r="U76" s="7"/>
      <c r="V76" s="7"/>
      <c r="W76" s="7"/>
      <c r="X76" s="7"/>
      <c r="Y76" s="7"/>
      <c r="Z76" s="7"/>
    </row>
    <row r="77" ht="60.0" customHeight="1">
      <c r="A77" s="70" t="s">
        <v>136</v>
      </c>
      <c r="B77" s="13" t="s">
        <v>289</v>
      </c>
      <c r="C77" s="28" t="s">
        <v>290</v>
      </c>
      <c r="D77" s="28" t="s">
        <v>291</v>
      </c>
      <c r="E77" s="76"/>
      <c r="F77" s="72">
        <v>0.0</v>
      </c>
      <c r="G77" s="7"/>
      <c r="H77" s="7"/>
      <c r="I77" s="7"/>
      <c r="J77" s="7"/>
      <c r="K77" s="7"/>
      <c r="L77" s="7"/>
      <c r="M77" s="7"/>
      <c r="N77" s="7"/>
      <c r="O77" s="7"/>
      <c r="P77" s="7"/>
      <c r="Q77" s="7"/>
      <c r="R77" s="7"/>
      <c r="S77" s="7"/>
      <c r="T77" s="7"/>
      <c r="U77" s="7"/>
      <c r="V77" s="7"/>
      <c r="W77" s="7"/>
      <c r="X77" s="7"/>
      <c r="Y77" s="7"/>
      <c r="Z77" s="7"/>
    </row>
    <row r="78" ht="45.0" customHeight="1">
      <c r="A78" s="70" t="s">
        <v>136</v>
      </c>
      <c r="B78" s="13" t="s">
        <v>292</v>
      </c>
      <c r="C78" s="28" t="s">
        <v>293</v>
      </c>
      <c r="D78" s="28" t="s">
        <v>294</v>
      </c>
      <c r="E78" s="76"/>
      <c r="F78" s="72">
        <v>0.0</v>
      </c>
      <c r="G78" s="7"/>
      <c r="H78" s="7"/>
      <c r="I78" s="7"/>
      <c r="J78" s="7"/>
      <c r="K78" s="7"/>
      <c r="L78" s="7"/>
      <c r="M78" s="7"/>
      <c r="N78" s="7"/>
      <c r="O78" s="7"/>
      <c r="P78" s="7"/>
      <c r="Q78" s="7"/>
      <c r="R78" s="7"/>
      <c r="S78" s="7"/>
      <c r="T78" s="7"/>
      <c r="U78" s="7"/>
      <c r="V78" s="7"/>
      <c r="W78" s="7"/>
      <c r="X78" s="7"/>
      <c r="Y78" s="7"/>
      <c r="Z78" s="7"/>
    </row>
    <row r="79" ht="60.0" customHeight="1">
      <c r="A79" s="70" t="s">
        <v>136</v>
      </c>
      <c r="B79" s="13" t="s">
        <v>295</v>
      </c>
      <c r="C79" s="28" t="s">
        <v>296</v>
      </c>
      <c r="D79" s="28" t="s">
        <v>297</v>
      </c>
      <c r="E79" s="76"/>
      <c r="F79" s="72">
        <v>0.0</v>
      </c>
      <c r="G79" s="7"/>
      <c r="H79" s="7"/>
      <c r="I79" s="7"/>
      <c r="J79" s="7"/>
      <c r="K79" s="7"/>
      <c r="L79" s="7"/>
      <c r="M79" s="7"/>
      <c r="N79" s="7"/>
      <c r="O79" s="7"/>
      <c r="P79" s="7"/>
      <c r="Q79" s="7"/>
      <c r="R79" s="7"/>
      <c r="S79" s="7"/>
      <c r="T79" s="7"/>
      <c r="U79" s="7"/>
      <c r="V79" s="7"/>
      <c r="W79" s="7"/>
      <c r="X79" s="7"/>
      <c r="Y79" s="7"/>
      <c r="Z79" s="7"/>
    </row>
    <row r="80" ht="90.0" customHeight="1">
      <c r="A80" s="70" t="s">
        <v>136</v>
      </c>
      <c r="B80" s="13" t="s">
        <v>298</v>
      </c>
      <c r="C80" s="28" t="s">
        <v>299</v>
      </c>
      <c r="D80" s="28" t="s">
        <v>300</v>
      </c>
      <c r="E80" s="76"/>
      <c r="F80" s="72">
        <v>0.0</v>
      </c>
      <c r="G80" s="7"/>
      <c r="H80" s="7"/>
      <c r="I80" s="7"/>
      <c r="J80" s="7"/>
      <c r="K80" s="7"/>
      <c r="L80" s="7"/>
      <c r="M80" s="7"/>
      <c r="N80" s="7"/>
      <c r="O80" s="7"/>
      <c r="P80" s="7"/>
      <c r="Q80" s="7"/>
      <c r="R80" s="7"/>
      <c r="S80" s="7"/>
      <c r="T80" s="7"/>
      <c r="U80" s="7"/>
      <c r="V80" s="7"/>
      <c r="W80" s="7"/>
      <c r="X80" s="7"/>
      <c r="Y80" s="7"/>
      <c r="Z80" s="7"/>
    </row>
    <row r="81" ht="86.25" customHeight="1">
      <c r="A81" s="70" t="s">
        <v>136</v>
      </c>
      <c r="B81" s="13" t="s">
        <v>301</v>
      </c>
      <c r="C81" s="28" t="s">
        <v>302</v>
      </c>
      <c r="D81" s="28" t="s">
        <v>303</v>
      </c>
      <c r="E81" s="76"/>
      <c r="F81" s="72">
        <v>0.0</v>
      </c>
      <c r="G81" s="7"/>
      <c r="H81" s="7"/>
      <c r="I81" s="7"/>
      <c r="J81" s="7"/>
      <c r="K81" s="7"/>
      <c r="L81" s="7"/>
      <c r="M81" s="7"/>
      <c r="N81" s="7"/>
      <c r="O81" s="7"/>
      <c r="P81" s="7"/>
      <c r="Q81" s="7"/>
      <c r="R81" s="7"/>
      <c r="S81" s="7"/>
      <c r="T81" s="7"/>
      <c r="U81" s="7"/>
      <c r="V81" s="7"/>
      <c r="W81" s="7"/>
      <c r="X81" s="7"/>
      <c r="Y81" s="7"/>
      <c r="Z81" s="7"/>
    </row>
    <row r="82" ht="19.5" customHeight="1">
      <c r="A82" s="63"/>
      <c r="B82" s="64" t="s">
        <v>29</v>
      </c>
      <c r="C82" s="74" t="s">
        <v>30</v>
      </c>
      <c r="D82" s="3"/>
      <c r="E82" s="3"/>
      <c r="F82" s="66"/>
      <c r="G82" s="7"/>
      <c r="H82" s="7"/>
      <c r="I82" s="7"/>
      <c r="J82" s="7"/>
      <c r="K82" s="7"/>
      <c r="L82" s="7"/>
      <c r="M82" s="7"/>
      <c r="N82" s="7"/>
      <c r="O82" s="7"/>
      <c r="P82" s="7"/>
      <c r="Q82" s="7"/>
      <c r="R82" s="7"/>
      <c r="S82" s="7"/>
      <c r="T82" s="7"/>
      <c r="U82" s="7"/>
      <c r="V82" s="7"/>
      <c r="W82" s="7"/>
      <c r="X82" s="7"/>
      <c r="Y82" s="7"/>
      <c r="Z82" s="7"/>
    </row>
    <row r="83" ht="19.5" customHeight="1">
      <c r="A83" s="78"/>
      <c r="B83" s="68" t="s">
        <v>92</v>
      </c>
      <c r="C83" s="77" t="s">
        <v>93</v>
      </c>
      <c r="D83" s="3"/>
      <c r="E83" s="3"/>
      <c r="F83" s="66"/>
      <c r="G83" s="7"/>
      <c r="H83" s="7"/>
      <c r="I83" s="7"/>
      <c r="J83" s="7"/>
      <c r="K83" s="7"/>
      <c r="L83" s="7"/>
      <c r="M83" s="7"/>
      <c r="N83" s="7"/>
      <c r="O83" s="7"/>
      <c r="P83" s="7"/>
      <c r="Q83" s="7"/>
      <c r="R83" s="7"/>
      <c r="S83" s="7"/>
      <c r="T83" s="7"/>
      <c r="U83" s="7"/>
      <c r="V83" s="7"/>
      <c r="W83" s="7"/>
      <c r="X83" s="7"/>
      <c r="Y83" s="7"/>
      <c r="Z83" s="7"/>
    </row>
    <row r="84" ht="60.0" customHeight="1">
      <c r="A84" s="70" t="s">
        <v>136</v>
      </c>
      <c r="B84" s="13" t="s">
        <v>304</v>
      </c>
      <c r="C84" s="28" t="s">
        <v>305</v>
      </c>
      <c r="D84" s="28" t="s">
        <v>306</v>
      </c>
      <c r="E84" s="76"/>
      <c r="F84" s="72">
        <v>0.0</v>
      </c>
      <c r="G84" s="7"/>
      <c r="H84" s="7"/>
      <c r="I84" s="7"/>
      <c r="J84" s="7"/>
      <c r="K84" s="7"/>
      <c r="L84" s="7"/>
      <c r="M84" s="7"/>
      <c r="N84" s="7"/>
      <c r="O84" s="7"/>
      <c r="P84" s="7"/>
      <c r="Q84" s="7"/>
      <c r="R84" s="7"/>
      <c r="S84" s="7"/>
      <c r="T84" s="7"/>
      <c r="U84" s="7"/>
      <c r="V84" s="7"/>
      <c r="W84" s="7"/>
      <c r="X84" s="7"/>
      <c r="Y84" s="7"/>
      <c r="Z84" s="7"/>
    </row>
    <row r="85" ht="60.75" customHeight="1">
      <c r="A85" s="70" t="s">
        <v>136</v>
      </c>
      <c r="B85" s="13" t="s">
        <v>307</v>
      </c>
      <c r="C85" s="28" t="s">
        <v>308</v>
      </c>
      <c r="D85" s="28" t="s">
        <v>309</v>
      </c>
      <c r="E85" s="76"/>
      <c r="F85" s="72">
        <v>0.0</v>
      </c>
      <c r="G85" s="7"/>
      <c r="H85" s="7"/>
      <c r="I85" s="7"/>
      <c r="J85" s="7"/>
      <c r="K85" s="7"/>
      <c r="L85" s="7"/>
      <c r="M85" s="7"/>
      <c r="N85" s="7"/>
      <c r="O85" s="7"/>
      <c r="P85" s="7"/>
      <c r="Q85" s="7"/>
      <c r="R85" s="7"/>
      <c r="S85" s="7"/>
      <c r="T85" s="7"/>
      <c r="U85" s="7"/>
      <c r="V85" s="7"/>
      <c r="W85" s="7"/>
      <c r="X85" s="7"/>
      <c r="Y85" s="7"/>
      <c r="Z85" s="7"/>
    </row>
    <row r="86" ht="30.0" customHeight="1">
      <c r="A86" s="70" t="s">
        <v>136</v>
      </c>
      <c r="B86" s="13" t="s">
        <v>310</v>
      </c>
      <c r="C86" s="28" t="s">
        <v>311</v>
      </c>
      <c r="D86" s="28" t="s">
        <v>312</v>
      </c>
      <c r="E86" s="76"/>
      <c r="F86" s="72">
        <v>0.0</v>
      </c>
      <c r="G86" s="7"/>
      <c r="H86" s="7"/>
      <c r="I86" s="7"/>
      <c r="J86" s="7"/>
      <c r="K86" s="7"/>
      <c r="L86" s="7"/>
      <c r="M86" s="7"/>
      <c r="N86" s="7"/>
      <c r="O86" s="7"/>
      <c r="P86" s="7"/>
      <c r="Q86" s="7"/>
      <c r="R86" s="7"/>
      <c r="S86" s="7"/>
      <c r="T86" s="7"/>
      <c r="U86" s="7"/>
      <c r="V86" s="7"/>
      <c r="W86" s="7"/>
      <c r="X86" s="7"/>
      <c r="Y86" s="7"/>
      <c r="Z86" s="7"/>
    </row>
    <row r="87" ht="84.0" customHeight="1">
      <c r="A87" s="70" t="s">
        <v>136</v>
      </c>
      <c r="B87" s="13" t="s">
        <v>313</v>
      </c>
      <c r="C87" s="28" t="s">
        <v>314</v>
      </c>
      <c r="D87" s="28" t="s">
        <v>315</v>
      </c>
      <c r="E87" s="76"/>
      <c r="F87" s="72">
        <v>0.0</v>
      </c>
      <c r="G87" s="7"/>
      <c r="H87" s="7"/>
      <c r="I87" s="7"/>
      <c r="J87" s="7"/>
      <c r="K87" s="7"/>
      <c r="L87" s="7"/>
      <c r="M87" s="7"/>
      <c r="N87" s="7"/>
      <c r="O87" s="7"/>
      <c r="P87" s="7"/>
      <c r="Q87" s="7"/>
      <c r="R87" s="7"/>
      <c r="S87" s="7"/>
      <c r="T87" s="7"/>
      <c r="U87" s="7"/>
      <c r="V87" s="7"/>
      <c r="W87" s="7"/>
      <c r="X87" s="7"/>
      <c r="Y87" s="7"/>
      <c r="Z87" s="7"/>
    </row>
    <row r="88" ht="19.5" customHeight="1">
      <c r="A88" s="78"/>
      <c r="B88" s="68" t="s">
        <v>94</v>
      </c>
      <c r="C88" s="77" t="s">
        <v>95</v>
      </c>
      <c r="D88" s="3"/>
      <c r="E88" s="3"/>
      <c r="F88" s="66"/>
      <c r="G88" s="7"/>
      <c r="H88" s="7"/>
      <c r="I88" s="7"/>
      <c r="J88" s="7"/>
      <c r="K88" s="7"/>
      <c r="L88" s="7"/>
      <c r="M88" s="7"/>
      <c r="N88" s="7"/>
      <c r="O88" s="7"/>
      <c r="P88" s="7"/>
      <c r="Q88" s="7"/>
      <c r="R88" s="7"/>
      <c r="S88" s="7"/>
      <c r="T88" s="7"/>
      <c r="U88" s="7"/>
      <c r="V88" s="7"/>
      <c r="W88" s="7"/>
      <c r="X88" s="7"/>
      <c r="Y88" s="7"/>
      <c r="Z88" s="7"/>
    </row>
    <row r="89" ht="105.0" customHeight="1">
      <c r="A89" s="70" t="s">
        <v>136</v>
      </c>
      <c r="B89" s="13" t="s">
        <v>316</v>
      </c>
      <c r="C89" s="28" t="s">
        <v>317</v>
      </c>
      <c r="D89" s="28" t="s">
        <v>318</v>
      </c>
      <c r="E89" s="76"/>
      <c r="F89" s="72">
        <v>0.0</v>
      </c>
      <c r="G89" s="7"/>
      <c r="H89" s="7"/>
      <c r="I89" s="7"/>
      <c r="J89" s="7"/>
      <c r="K89" s="7"/>
      <c r="L89" s="7"/>
      <c r="M89" s="7"/>
      <c r="N89" s="7"/>
      <c r="O89" s="7"/>
      <c r="P89" s="7"/>
      <c r="Q89" s="7"/>
      <c r="R89" s="7"/>
      <c r="S89" s="7"/>
      <c r="T89" s="7"/>
      <c r="U89" s="7"/>
      <c r="V89" s="7"/>
      <c r="W89" s="7"/>
      <c r="X89" s="7"/>
      <c r="Y89" s="7"/>
      <c r="Z89" s="7"/>
    </row>
    <row r="90" ht="19.5" customHeight="1">
      <c r="A90" s="78"/>
      <c r="B90" s="68" t="s">
        <v>96</v>
      </c>
      <c r="C90" s="77" t="s">
        <v>97</v>
      </c>
      <c r="D90" s="3"/>
      <c r="E90" s="3"/>
      <c r="F90" s="66"/>
      <c r="G90" s="7"/>
      <c r="H90" s="7"/>
      <c r="I90" s="7"/>
      <c r="J90" s="7"/>
      <c r="K90" s="7"/>
      <c r="L90" s="7"/>
      <c r="M90" s="7"/>
      <c r="N90" s="7"/>
      <c r="O90" s="7"/>
      <c r="P90" s="7"/>
      <c r="Q90" s="7"/>
      <c r="R90" s="7"/>
      <c r="S90" s="7"/>
      <c r="T90" s="7"/>
      <c r="U90" s="7"/>
      <c r="V90" s="7"/>
      <c r="W90" s="7"/>
      <c r="X90" s="7"/>
      <c r="Y90" s="7"/>
      <c r="Z90" s="7"/>
    </row>
    <row r="91" ht="90.0" customHeight="1">
      <c r="A91" s="70" t="s">
        <v>136</v>
      </c>
      <c r="B91" s="13" t="s">
        <v>319</v>
      </c>
      <c r="C91" s="28" t="s">
        <v>320</v>
      </c>
      <c r="D91" s="28" t="s">
        <v>321</v>
      </c>
      <c r="E91" s="76"/>
      <c r="F91" s="72">
        <v>0.0</v>
      </c>
      <c r="G91" s="7"/>
      <c r="H91" s="7"/>
      <c r="I91" s="7"/>
      <c r="J91" s="7"/>
      <c r="K91" s="7"/>
      <c r="L91" s="7"/>
      <c r="M91" s="7"/>
      <c r="N91" s="7"/>
      <c r="O91" s="7"/>
      <c r="P91" s="7"/>
      <c r="Q91" s="7"/>
      <c r="R91" s="7"/>
      <c r="S91" s="7"/>
      <c r="T91" s="7"/>
      <c r="U91" s="7"/>
      <c r="V91" s="7"/>
      <c r="W91" s="7"/>
      <c r="X91" s="7"/>
      <c r="Y91" s="7"/>
      <c r="Z91" s="7"/>
    </row>
    <row r="92" ht="19.5" customHeight="1">
      <c r="A92" s="78"/>
      <c r="B92" s="68" t="s">
        <v>98</v>
      </c>
      <c r="C92" s="77" t="s">
        <v>99</v>
      </c>
      <c r="D92" s="3"/>
      <c r="E92" s="3"/>
      <c r="F92" s="66"/>
      <c r="G92" s="7"/>
      <c r="H92" s="7"/>
      <c r="I92" s="7"/>
      <c r="J92" s="7"/>
      <c r="K92" s="7"/>
      <c r="L92" s="7"/>
      <c r="M92" s="7"/>
      <c r="N92" s="7"/>
      <c r="O92" s="7"/>
      <c r="P92" s="7"/>
      <c r="Q92" s="7"/>
      <c r="R92" s="7"/>
      <c r="S92" s="7"/>
      <c r="T92" s="7"/>
      <c r="U92" s="7"/>
      <c r="V92" s="7"/>
      <c r="W92" s="7"/>
      <c r="X92" s="7"/>
      <c r="Y92" s="7"/>
      <c r="Z92" s="7"/>
    </row>
    <row r="93" ht="30.0" customHeight="1">
      <c r="A93" s="70" t="s">
        <v>136</v>
      </c>
      <c r="B93" s="13" t="s">
        <v>322</v>
      </c>
      <c r="C93" s="28" t="s">
        <v>323</v>
      </c>
      <c r="D93" s="28" t="s">
        <v>324</v>
      </c>
      <c r="E93" s="76"/>
      <c r="F93" s="72">
        <v>0.0</v>
      </c>
      <c r="G93" s="7"/>
      <c r="H93" s="7"/>
      <c r="I93" s="7"/>
      <c r="J93" s="7"/>
      <c r="K93" s="7"/>
      <c r="L93" s="7"/>
      <c r="M93" s="7"/>
      <c r="N93" s="7"/>
      <c r="O93" s="7"/>
      <c r="P93" s="7"/>
      <c r="Q93" s="7"/>
      <c r="R93" s="7"/>
      <c r="S93" s="7"/>
      <c r="T93" s="7"/>
      <c r="U93" s="7"/>
      <c r="V93" s="7"/>
      <c r="W93" s="7"/>
      <c r="X93" s="7"/>
      <c r="Y93" s="7"/>
      <c r="Z93" s="7"/>
    </row>
    <row r="94" ht="30.0" customHeight="1">
      <c r="A94" s="70" t="s">
        <v>136</v>
      </c>
      <c r="B94" s="13" t="s">
        <v>325</v>
      </c>
      <c r="C94" s="28" t="s">
        <v>326</v>
      </c>
      <c r="D94" s="28" t="s">
        <v>327</v>
      </c>
      <c r="E94" s="76"/>
      <c r="F94" s="72">
        <v>0.0</v>
      </c>
      <c r="G94" s="7"/>
      <c r="H94" s="7"/>
      <c r="I94" s="7"/>
      <c r="J94" s="7"/>
      <c r="K94" s="7"/>
      <c r="L94" s="7"/>
      <c r="M94" s="7"/>
      <c r="N94" s="7"/>
      <c r="O94" s="7"/>
      <c r="P94" s="7"/>
      <c r="Q94" s="7"/>
      <c r="R94" s="7"/>
      <c r="S94" s="7"/>
      <c r="T94" s="7"/>
      <c r="U94" s="7"/>
      <c r="V94" s="7"/>
      <c r="W94" s="7"/>
      <c r="X94" s="7"/>
      <c r="Y94" s="7"/>
      <c r="Z94" s="7"/>
    </row>
    <row r="95" ht="30.0" customHeight="1">
      <c r="A95" s="70" t="s">
        <v>136</v>
      </c>
      <c r="B95" s="13" t="s">
        <v>328</v>
      </c>
      <c r="C95" s="28" t="s">
        <v>329</v>
      </c>
      <c r="D95" s="28" t="s">
        <v>330</v>
      </c>
      <c r="E95" s="76"/>
      <c r="F95" s="72">
        <v>0.0</v>
      </c>
      <c r="G95" s="7"/>
      <c r="H95" s="7"/>
      <c r="I95" s="7"/>
      <c r="J95" s="7"/>
      <c r="K95" s="7"/>
      <c r="L95" s="7"/>
      <c r="M95" s="7"/>
      <c r="N95" s="7"/>
      <c r="O95" s="7"/>
      <c r="P95" s="7"/>
      <c r="Q95" s="7"/>
      <c r="R95" s="7"/>
      <c r="S95" s="7"/>
      <c r="T95" s="7"/>
      <c r="U95" s="7"/>
      <c r="V95" s="7"/>
      <c r="W95" s="7"/>
      <c r="X95" s="7"/>
      <c r="Y95" s="7"/>
      <c r="Z95" s="7"/>
    </row>
    <row r="96" ht="21.0" customHeight="1">
      <c r="A96" s="70" t="s">
        <v>136</v>
      </c>
      <c r="B96" s="13" t="s">
        <v>331</v>
      </c>
      <c r="C96" s="28" t="s">
        <v>332</v>
      </c>
      <c r="D96" s="28" t="s">
        <v>333</v>
      </c>
      <c r="E96" s="76"/>
      <c r="F96" s="72">
        <v>0.0</v>
      </c>
      <c r="G96" s="7"/>
      <c r="H96" s="7"/>
      <c r="I96" s="7"/>
      <c r="J96" s="7"/>
      <c r="K96" s="7"/>
      <c r="L96" s="7"/>
      <c r="M96" s="7"/>
      <c r="N96" s="7"/>
      <c r="O96" s="7"/>
      <c r="P96" s="7"/>
      <c r="Q96" s="7"/>
      <c r="R96" s="7"/>
      <c r="S96" s="7"/>
      <c r="T96" s="7"/>
      <c r="U96" s="7"/>
      <c r="V96" s="7"/>
      <c r="W96" s="7"/>
      <c r="X96" s="7"/>
      <c r="Y96" s="7"/>
      <c r="Z96" s="7"/>
    </row>
    <row r="97" ht="19.5" customHeight="1">
      <c r="A97" s="78"/>
      <c r="B97" s="68" t="s">
        <v>100</v>
      </c>
      <c r="C97" s="77" t="s">
        <v>101</v>
      </c>
      <c r="D97" s="3"/>
      <c r="E97" s="3"/>
      <c r="F97" s="66"/>
      <c r="G97" s="7"/>
      <c r="H97" s="7"/>
      <c r="I97" s="7"/>
      <c r="J97" s="7"/>
      <c r="K97" s="7"/>
      <c r="L97" s="7"/>
      <c r="M97" s="7"/>
      <c r="N97" s="7"/>
      <c r="O97" s="7"/>
      <c r="P97" s="7"/>
      <c r="Q97" s="7"/>
      <c r="R97" s="7"/>
      <c r="S97" s="7"/>
      <c r="T97" s="7"/>
      <c r="U97" s="7"/>
      <c r="V97" s="7"/>
      <c r="W97" s="7"/>
      <c r="X97" s="7"/>
      <c r="Y97" s="7"/>
      <c r="Z97" s="7"/>
    </row>
    <row r="98" ht="45.0" customHeight="1">
      <c r="A98" s="70" t="s">
        <v>136</v>
      </c>
      <c r="B98" s="13" t="s">
        <v>334</v>
      </c>
      <c r="C98" s="28" t="s">
        <v>335</v>
      </c>
      <c r="D98" s="28" t="s">
        <v>336</v>
      </c>
      <c r="E98" s="76"/>
      <c r="F98" s="72">
        <v>0.0</v>
      </c>
      <c r="G98" s="7"/>
      <c r="H98" s="7"/>
      <c r="I98" s="7"/>
      <c r="J98" s="7"/>
      <c r="K98" s="7"/>
      <c r="L98" s="7"/>
      <c r="M98" s="7"/>
      <c r="N98" s="7"/>
      <c r="O98" s="7"/>
      <c r="P98" s="7"/>
      <c r="Q98" s="7"/>
      <c r="R98" s="7"/>
      <c r="S98" s="7"/>
      <c r="T98" s="7"/>
      <c r="U98" s="7"/>
      <c r="V98" s="7"/>
      <c r="W98" s="7"/>
      <c r="X98" s="7"/>
      <c r="Y98" s="7"/>
      <c r="Z98" s="7"/>
    </row>
    <row r="99" ht="19.5" customHeight="1">
      <c r="A99" s="78"/>
      <c r="B99" s="68" t="s">
        <v>102</v>
      </c>
      <c r="C99" s="77" t="s">
        <v>103</v>
      </c>
      <c r="D99" s="3"/>
      <c r="E99" s="3"/>
      <c r="F99" s="66"/>
      <c r="G99" s="7"/>
      <c r="H99" s="7"/>
      <c r="I99" s="7"/>
      <c r="J99" s="7"/>
      <c r="K99" s="7"/>
      <c r="L99" s="7"/>
      <c r="M99" s="7"/>
      <c r="N99" s="7"/>
      <c r="O99" s="7"/>
      <c r="P99" s="7"/>
      <c r="Q99" s="7"/>
      <c r="R99" s="7"/>
      <c r="S99" s="7"/>
      <c r="T99" s="7"/>
      <c r="U99" s="7"/>
      <c r="V99" s="7"/>
      <c r="W99" s="7"/>
      <c r="X99" s="7"/>
      <c r="Y99" s="7"/>
      <c r="Z99" s="7"/>
    </row>
    <row r="100" ht="90.0" customHeight="1">
      <c r="A100" s="70" t="s">
        <v>136</v>
      </c>
      <c r="B100" s="13" t="s">
        <v>337</v>
      </c>
      <c r="C100" s="28" t="s">
        <v>103</v>
      </c>
      <c r="D100" s="28" t="s">
        <v>338</v>
      </c>
      <c r="E100" s="76"/>
      <c r="F100" s="72">
        <v>0.0</v>
      </c>
      <c r="G100" s="7"/>
      <c r="H100" s="7"/>
      <c r="I100" s="7"/>
      <c r="J100" s="7"/>
      <c r="K100" s="7"/>
      <c r="L100" s="7"/>
      <c r="M100" s="7"/>
      <c r="N100" s="7"/>
      <c r="O100" s="7"/>
      <c r="P100" s="7"/>
      <c r="Q100" s="7"/>
      <c r="R100" s="7"/>
      <c r="S100" s="7"/>
      <c r="T100" s="7"/>
      <c r="U100" s="7"/>
      <c r="V100" s="7"/>
      <c r="W100" s="7"/>
      <c r="X100" s="7"/>
      <c r="Y100" s="7"/>
      <c r="Z100" s="7"/>
    </row>
    <row r="101" ht="71.25" customHeight="1">
      <c r="A101" s="70" t="s">
        <v>136</v>
      </c>
      <c r="B101" s="13" t="s">
        <v>339</v>
      </c>
      <c r="C101" s="28" t="s">
        <v>340</v>
      </c>
      <c r="D101" s="28" t="s">
        <v>341</v>
      </c>
      <c r="E101" s="76"/>
      <c r="F101" s="72">
        <v>0.0</v>
      </c>
      <c r="G101" s="7"/>
      <c r="H101" s="7"/>
      <c r="I101" s="7"/>
      <c r="J101" s="7"/>
      <c r="K101" s="7"/>
      <c r="L101" s="7"/>
      <c r="M101" s="7"/>
      <c r="N101" s="7"/>
      <c r="O101" s="7"/>
      <c r="P101" s="7"/>
      <c r="Q101" s="7"/>
      <c r="R101" s="7"/>
      <c r="S101" s="7"/>
      <c r="T101" s="7"/>
      <c r="U101" s="7"/>
      <c r="V101" s="7"/>
      <c r="W101" s="7"/>
      <c r="X101" s="7"/>
      <c r="Y101" s="7"/>
      <c r="Z101" s="7"/>
    </row>
    <row r="102" ht="19.5" customHeight="1">
      <c r="A102" s="78"/>
      <c r="B102" s="68" t="s">
        <v>104</v>
      </c>
      <c r="C102" s="77" t="s">
        <v>105</v>
      </c>
      <c r="D102" s="3"/>
      <c r="E102" s="3"/>
      <c r="F102" s="66"/>
      <c r="G102" s="7"/>
      <c r="H102" s="7"/>
      <c r="I102" s="7"/>
      <c r="J102" s="7"/>
      <c r="K102" s="7"/>
      <c r="L102" s="7"/>
      <c r="M102" s="7"/>
      <c r="N102" s="7"/>
      <c r="O102" s="7"/>
      <c r="P102" s="7"/>
      <c r="Q102" s="7"/>
      <c r="R102" s="7"/>
      <c r="S102" s="7"/>
      <c r="T102" s="7"/>
      <c r="U102" s="7"/>
      <c r="V102" s="7"/>
      <c r="W102" s="7"/>
      <c r="X102" s="7"/>
      <c r="Y102" s="7"/>
      <c r="Z102" s="7"/>
    </row>
    <row r="103" ht="45.0" customHeight="1">
      <c r="A103" s="70" t="s">
        <v>136</v>
      </c>
      <c r="B103" s="13" t="s">
        <v>342</v>
      </c>
      <c r="C103" s="28" t="s">
        <v>343</v>
      </c>
      <c r="D103" s="28" t="s">
        <v>344</v>
      </c>
      <c r="E103" s="76"/>
      <c r="F103" s="72">
        <v>0.0</v>
      </c>
      <c r="G103" s="7"/>
      <c r="H103" s="7"/>
      <c r="I103" s="7"/>
      <c r="J103" s="7"/>
      <c r="K103" s="7"/>
      <c r="L103" s="7"/>
      <c r="M103" s="7"/>
      <c r="N103" s="7"/>
      <c r="O103" s="7"/>
      <c r="P103" s="7"/>
      <c r="Q103" s="7"/>
      <c r="R103" s="7"/>
      <c r="S103" s="7"/>
      <c r="T103" s="7"/>
      <c r="U103" s="7"/>
      <c r="V103" s="7"/>
      <c r="W103" s="7"/>
      <c r="X103" s="7"/>
      <c r="Y103" s="7"/>
      <c r="Z103" s="7"/>
    </row>
    <row r="104" ht="19.5" customHeight="1">
      <c r="A104" s="63"/>
      <c r="B104" s="64" t="s">
        <v>33</v>
      </c>
      <c r="C104" s="74" t="s">
        <v>34</v>
      </c>
      <c r="D104" s="3"/>
      <c r="E104" s="3"/>
      <c r="F104" s="66"/>
      <c r="G104" s="7"/>
      <c r="H104" s="7"/>
      <c r="I104" s="7"/>
      <c r="J104" s="7"/>
      <c r="K104" s="7"/>
      <c r="L104" s="7"/>
      <c r="M104" s="7"/>
      <c r="N104" s="7"/>
      <c r="O104" s="7"/>
      <c r="P104" s="7"/>
      <c r="Q104" s="7"/>
      <c r="R104" s="7"/>
      <c r="S104" s="7"/>
      <c r="T104" s="7"/>
      <c r="U104" s="7"/>
      <c r="V104" s="7"/>
      <c r="W104" s="7"/>
      <c r="X104" s="7"/>
      <c r="Y104" s="7"/>
      <c r="Z104" s="7"/>
    </row>
    <row r="105" ht="19.5" customHeight="1">
      <c r="A105" s="78"/>
      <c r="B105" s="68" t="s">
        <v>106</v>
      </c>
      <c r="C105" s="77" t="s">
        <v>107</v>
      </c>
      <c r="D105" s="3"/>
      <c r="E105" s="3"/>
      <c r="F105" s="66"/>
      <c r="G105" s="7"/>
      <c r="H105" s="7"/>
      <c r="I105" s="7"/>
      <c r="J105" s="7"/>
      <c r="K105" s="7"/>
      <c r="L105" s="7"/>
      <c r="M105" s="7"/>
      <c r="N105" s="7"/>
      <c r="O105" s="7"/>
      <c r="P105" s="7"/>
      <c r="Q105" s="7"/>
      <c r="R105" s="7"/>
      <c r="S105" s="7"/>
      <c r="T105" s="7"/>
      <c r="U105" s="7"/>
      <c r="V105" s="7"/>
      <c r="W105" s="7"/>
      <c r="X105" s="7"/>
      <c r="Y105" s="7"/>
      <c r="Z105" s="7"/>
    </row>
    <row r="106" ht="30.0" customHeight="1">
      <c r="A106" s="70" t="s">
        <v>136</v>
      </c>
      <c r="B106" s="13" t="s">
        <v>345</v>
      </c>
      <c r="C106" s="28" t="s">
        <v>346</v>
      </c>
      <c r="D106" s="28" t="s">
        <v>347</v>
      </c>
      <c r="E106" s="76"/>
      <c r="F106" s="72">
        <v>0.0</v>
      </c>
      <c r="G106" s="7"/>
      <c r="H106" s="7"/>
      <c r="I106" s="7"/>
      <c r="J106" s="7"/>
      <c r="K106" s="7"/>
      <c r="L106" s="7"/>
      <c r="M106" s="7"/>
      <c r="N106" s="7"/>
      <c r="O106" s="7"/>
      <c r="P106" s="7"/>
      <c r="Q106" s="7"/>
      <c r="R106" s="7"/>
      <c r="S106" s="7"/>
      <c r="T106" s="7"/>
      <c r="U106" s="7"/>
      <c r="V106" s="7"/>
      <c r="W106" s="7"/>
      <c r="X106" s="7"/>
      <c r="Y106" s="7"/>
      <c r="Z106" s="7"/>
    </row>
    <row r="107" ht="120.0" customHeight="1">
      <c r="A107" s="70" t="s">
        <v>136</v>
      </c>
      <c r="B107" s="13" t="s">
        <v>348</v>
      </c>
      <c r="C107" s="28" t="s">
        <v>349</v>
      </c>
      <c r="D107" s="28" t="s">
        <v>350</v>
      </c>
      <c r="E107" s="76"/>
      <c r="F107" s="72">
        <v>0.0</v>
      </c>
      <c r="G107" s="7"/>
      <c r="H107" s="7"/>
      <c r="I107" s="7"/>
      <c r="J107" s="7"/>
      <c r="K107" s="7"/>
      <c r="L107" s="7"/>
      <c r="M107" s="7"/>
      <c r="N107" s="7"/>
      <c r="O107" s="7"/>
      <c r="P107" s="7"/>
      <c r="Q107" s="7"/>
      <c r="R107" s="7"/>
      <c r="S107" s="7"/>
      <c r="T107" s="7"/>
      <c r="U107" s="7"/>
      <c r="V107" s="7"/>
      <c r="W107" s="7"/>
      <c r="X107" s="7"/>
      <c r="Y107" s="7"/>
      <c r="Z107" s="7"/>
    </row>
    <row r="108" ht="45.0" customHeight="1">
      <c r="A108" s="70" t="s">
        <v>136</v>
      </c>
      <c r="B108" s="13" t="s">
        <v>351</v>
      </c>
      <c r="C108" s="28" t="s">
        <v>352</v>
      </c>
      <c r="D108" s="28" t="s">
        <v>353</v>
      </c>
      <c r="E108" s="76"/>
      <c r="F108" s="72">
        <v>0.0</v>
      </c>
      <c r="G108" s="7"/>
      <c r="H108" s="7"/>
      <c r="I108" s="7"/>
      <c r="J108" s="7"/>
      <c r="K108" s="7"/>
      <c r="L108" s="7"/>
      <c r="M108" s="7"/>
      <c r="N108" s="7"/>
      <c r="O108" s="7"/>
      <c r="P108" s="7"/>
      <c r="Q108" s="7"/>
      <c r="R108" s="7"/>
      <c r="S108" s="7"/>
      <c r="T108" s="7"/>
      <c r="U108" s="7"/>
      <c r="V108" s="7"/>
      <c r="W108" s="7"/>
      <c r="X108" s="7"/>
      <c r="Y108" s="7"/>
      <c r="Z108" s="7"/>
    </row>
    <row r="109" ht="21.0" customHeight="1">
      <c r="A109" s="67"/>
      <c r="B109" s="68" t="s">
        <v>108</v>
      </c>
      <c r="C109" s="77" t="s">
        <v>109</v>
      </c>
      <c r="D109" s="3"/>
      <c r="E109" s="3"/>
      <c r="F109" s="66"/>
      <c r="G109" s="7"/>
      <c r="H109" s="7"/>
      <c r="I109" s="7"/>
      <c r="J109" s="7"/>
      <c r="K109" s="7"/>
      <c r="L109" s="7"/>
      <c r="M109" s="7"/>
      <c r="N109" s="7"/>
      <c r="O109" s="7"/>
      <c r="P109" s="7"/>
      <c r="Q109" s="7"/>
      <c r="R109" s="7"/>
      <c r="S109" s="7"/>
      <c r="T109" s="7"/>
      <c r="U109" s="7"/>
      <c r="V109" s="7"/>
      <c r="W109" s="7"/>
      <c r="X109" s="7"/>
      <c r="Y109" s="7"/>
      <c r="Z109" s="7"/>
    </row>
    <row r="110" ht="120.0" customHeight="1">
      <c r="A110" s="70" t="s">
        <v>136</v>
      </c>
      <c r="B110" s="13" t="s">
        <v>354</v>
      </c>
      <c r="C110" s="28" t="s">
        <v>355</v>
      </c>
      <c r="D110" s="28" t="s">
        <v>356</v>
      </c>
      <c r="E110" s="76"/>
      <c r="F110" s="72">
        <v>0.0</v>
      </c>
      <c r="G110" s="7"/>
      <c r="H110" s="7"/>
      <c r="I110" s="7"/>
      <c r="J110" s="7"/>
      <c r="K110" s="7"/>
      <c r="L110" s="7"/>
      <c r="M110" s="7"/>
      <c r="N110" s="7"/>
      <c r="O110" s="7"/>
      <c r="P110" s="7"/>
      <c r="Q110" s="7"/>
      <c r="R110" s="7"/>
      <c r="S110" s="7"/>
      <c r="T110" s="7"/>
      <c r="U110" s="7"/>
      <c r="V110" s="7"/>
      <c r="W110" s="7"/>
      <c r="X110" s="7"/>
      <c r="Y110" s="7"/>
      <c r="Z110" s="7"/>
    </row>
    <row r="111" ht="60.0" customHeight="1">
      <c r="A111" s="70" t="s">
        <v>136</v>
      </c>
      <c r="B111" s="13" t="s">
        <v>357</v>
      </c>
      <c r="C111" s="28" t="s">
        <v>358</v>
      </c>
      <c r="D111" s="28" t="s">
        <v>359</v>
      </c>
      <c r="E111" s="76"/>
      <c r="F111" s="72">
        <v>0.0</v>
      </c>
      <c r="G111" s="7"/>
      <c r="H111" s="7"/>
      <c r="I111" s="7"/>
      <c r="J111" s="7"/>
      <c r="K111" s="7"/>
      <c r="L111" s="7"/>
      <c r="M111" s="7"/>
      <c r="N111" s="7"/>
      <c r="O111" s="7"/>
      <c r="P111" s="7"/>
      <c r="Q111" s="7"/>
      <c r="R111" s="7"/>
      <c r="S111" s="7"/>
      <c r="T111" s="7"/>
      <c r="U111" s="7"/>
      <c r="V111" s="7"/>
      <c r="W111" s="7"/>
      <c r="X111" s="7"/>
      <c r="Y111" s="7"/>
      <c r="Z111" s="7"/>
    </row>
    <row r="112" ht="45.0" customHeight="1">
      <c r="A112" s="70" t="s">
        <v>136</v>
      </c>
      <c r="B112" s="13" t="s">
        <v>360</v>
      </c>
      <c r="C112" s="28" t="s">
        <v>361</v>
      </c>
      <c r="D112" s="28" t="s">
        <v>362</v>
      </c>
      <c r="E112" s="76"/>
      <c r="F112" s="72">
        <v>0.0</v>
      </c>
      <c r="G112" s="7"/>
      <c r="H112" s="7"/>
      <c r="I112" s="7"/>
      <c r="J112" s="7"/>
      <c r="K112" s="7"/>
      <c r="L112" s="7"/>
      <c r="M112" s="7"/>
      <c r="N112" s="7"/>
      <c r="O112" s="7"/>
      <c r="P112" s="7"/>
      <c r="Q112" s="7"/>
      <c r="R112" s="7"/>
      <c r="S112" s="7"/>
      <c r="T112" s="7"/>
      <c r="U112" s="7"/>
      <c r="V112" s="7"/>
      <c r="W112" s="7"/>
      <c r="X112" s="7"/>
      <c r="Y112" s="7"/>
      <c r="Z112" s="7"/>
    </row>
    <row r="113" ht="105.0" customHeight="1">
      <c r="A113" s="70" t="s">
        <v>136</v>
      </c>
      <c r="B113" s="13" t="s">
        <v>363</v>
      </c>
      <c r="C113" s="28" t="s">
        <v>364</v>
      </c>
      <c r="D113" s="28" t="s">
        <v>365</v>
      </c>
      <c r="E113" s="76"/>
      <c r="F113" s="72">
        <v>0.0</v>
      </c>
      <c r="G113" s="7"/>
      <c r="H113" s="7"/>
      <c r="I113" s="7"/>
      <c r="J113" s="7"/>
      <c r="K113" s="7"/>
      <c r="L113" s="7"/>
      <c r="M113" s="7"/>
      <c r="N113" s="7"/>
      <c r="O113" s="7"/>
      <c r="P113" s="7"/>
      <c r="Q113" s="7"/>
      <c r="R113" s="7"/>
      <c r="S113" s="7"/>
      <c r="T113" s="7"/>
      <c r="U113" s="7"/>
      <c r="V113" s="7"/>
      <c r="W113" s="7"/>
      <c r="X113" s="7"/>
      <c r="Y113" s="7"/>
      <c r="Z113" s="7"/>
    </row>
    <row r="114" ht="19.5" customHeight="1">
      <c r="A114" s="63"/>
      <c r="B114" s="64" t="s">
        <v>40</v>
      </c>
      <c r="C114" s="74" t="s">
        <v>41</v>
      </c>
      <c r="D114" s="3"/>
      <c r="E114" s="3"/>
      <c r="F114" s="66"/>
      <c r="G114" s="7"/>
      <c r="H114" s="7"/>
      <c r="I114" s="7"/>
      <c r="J114" s="7"/>
      <c r="K114" s="7"/>
      <c r="L114" s="7"/>
      <c r="M114" s="7"/>
      <c r="N114" s="7"/>
      <c r="O114" s="7"/>
      <c r="P114" s="7"/>
      <c r="Q114" s="7"/>
      <c r="R114" s="7"/>
      <c r="S114" s="7"/>
      <c r="T114" s="7"/>
      <c r="U114" s="7"/>
      <c r="V114" s="7"/>
      <c r="W114" s="7"/>
      <c r="X114" s="7"/>
      <c r="Y114" s="7"/>
      <c r="Z114" s="7"/>
    </row>
    <row r="115" ht="19.5" customHeight="1">
      <c r="A115" s="78"/>
      <c r="B115" s="68" t="s">
        <v>110</v>
      </c>
      <c r="C115" s="77" t="s">
        <v>111</v>
      </c>
      <c r="D115" s="3"/>
      <c r="E115" s="3"/>
      <c r="F115" s="66"/>
      <c r="G115" s="7"/>
      <c r="H115" s="7"/>
      <c r="I115" s="7"/>
      <c r="J115" s="7"/>
      <c r="K115" s="7"/>
      <c r="L115" s="7"/>
      <c r="M115" s="7"/>
      <c r="N115" s="7"/>
      <c r="O115" s="7"/>
      <c r="P115" s="7"/>
      <c r="Q115" s="7"/>
      <c r="R115" s="7"/>
      <c r="S115" s="7"/>
      <c r="T115" s="7"/>
      <c r="U115" s="7"/>
      <c r="V115" s="7"/>
      <c r="W115" s="7"/>
      <c r="X115" s="7"/>
      <c r="Y115" s="7"/>
      <c r="Z115" s="7"/>
    </row>
    <row r="116" ht="90.0" customHeight="1">
      <c r="A116" s="70" t="s">
        <v>136</v>
      </c>
      <c r="B116" s="13" t="s">
        <v>366</v>
      </c>
      <c r="C116" s="28" t="s">
        <v>367</v>
      </c>
      <c r="D116" s="28" t="s">
        <v>368</v>
      </c>
      <c r="E116" s="76"/>
      <c r="F116" s="72">
        <v>0.0</v>
      </c>
      <c r="G116" s="7"/>
      <c r="H116" s="7"/>
      <c r="I116" s="7"/>
      <c r="J116" s="7"/>
      <c r="K116" s="7"/>
      <c r="L116" s="7"/>
      <c r="M116" s="7"/>
      <c r="N116" s="7"/>
      <c r="O116" s="7"/>
      <c r="P116" s="7"/>
      <c r="Q116" s="7"/>
      <c r="R116" s="7"/>
      <c r="S116" s="7"/>
      <c r="T116" s="7"/>
      <c r="U116" s="7"/>
      <c r="V116" s="7"/>
      <c r="W116" s="7"/>
      <c r="X116" s="7"/>
      <c r="Y116" s="7"/>
      <c r="Z116" s="7"/>
    </row>
    <row r="117" ht="90.0" customHeight="1">
      <c r="A117" s="70" t="s">
        <v>136</v>
      </c>
      <c r="B117" s="13" t="s">
        <v>369</v>
      </c>
      <c r="C117" s="28" t="s">
        <v>370</v>
      </c>
      <c r="D117" s="28" t="s">
        <v>371</v>
      </c>
      <c r="E117" s="76"/>
      <c r="F117" s="72">
        <v>0.0</v>
      </c>
      <c r="G117" s="7"/>
      <c r="H117" s="7"/>
      <c r="I117" s="7"/>
      <c r="J117" s="7"/>
      <c r="K117" s="7"/>
      <c r="L117" s="7"/>
      <c r="M117" s="7"/>
      <c r="N117" s="7"/>
      <c r="O117" s="7"/>
      <c r="P117" s="7"/>
      <c r="Q117" s="7"/>
      <c r="R117" s="7"/>
      <c r="S117" s="7"/>
      <c r="T117" s="7"/>
      <c r="U117" s="7"/>
      <c r="V117" s="7"/>
      <c r="W117" s="7"/>
      <c r="X117" s="7"/>
      <c r="Y117" s="7"/>
      <c r="Z117" s="7"/>
    </row>
    <row r="118" ht="75.0" customHeight="1">
      <c r="A118" s="70" t="s">
        <v>136</v>
      </c>
      <c r="B118" s="13" t="s">
        <v>372</v>
      </c>
      <c r="C118" s="28" t="s">
        <v>373</v>
      </c>
      <c r="D118" s="28" t="s">
        <v>374</v>
      </c>
      <c r="E118" s="76"/>
      <c r="F118" s="72">
        <v>0.0</v>
      </c>
      <c r="G118" s="7"/>
      <c r="H118" s="7"/>
      <c r="I118" s="7"/>
      <c r="J118" s="7"/>
      <c r="K118" s="7"/>
      <c r="L118" s="7"/>
      <c r="M118" s="7"/>
      <c r="N118" s="7"/>
      <c r="O118" s="7"/>
      <c r="P118" s="7"/>
      <c r="Q118" s="7"/>
      <c r="R118" s="7"/>
      <c r="S118" s="7"/>
      <c r="T118" s="7"/>
      <c r="U118" s="7"/>
      <c r="V118" s="7"/>
      <c r="W118" s="7"/>
      <c r="X118" s="7"/>
      <c r="Y118" s="7"/>
      <c r="Z118" s="7"/>
    </row>
    <row r="119" ht="19.5" customHeight="1">
      <c r="A119" s="78"/>
      <c r="B119" s="68" t="s">
        <v>112</v>
      </c>
      <c r="C119" s="77" t="s">
        <v>113</v>
      </c>
      <c r="D119" s="3"/>
      <c r="E119" s="3"/>
      <c r="F119" s="66"/>
      <c r="G119" s="7"/>
      <c r="H119" s="7"/>
      <c r="I119" s="7"/>
      <c r="J119" s="7"/>
      <c r="K119" s="7"/>
      <c r="L119" s="7"/>
      <c r="M119" s="7"/>
      <c r="N119" s="7"/>
      <c r="O119" s="7"/>
      <c r="P119" s="7"/>
      <c r="Q119" s="7"/>
      <c r="R119" s="7"/>
      <c r="S119" s="7"/>
      <c r="T119" s="7"/>
      <c r="U119" s="7"/>
      <c r="V119" s="7"/>
      <c r="W119" s="7"/>
      <c r="X119" s="7"/>
      <c r="Y119" s="7"/>
      <c r="Z119" s="7"/>
    </row>
    <row r="120" ht="75.0" customHeight="1">
      <c r="A120" s="70" t="s">
        <v>136</v>
      </c>
      <c r="B120" s="13" t="s">
        <v>375</v>
      </c>
      <c r="C120" s="28" t="s">
        <v>376</v>
      </c>
      <c r="D120" s="28" t="s">
        <v>377</v>
      </c>
      <c r="E120" s="76"/>
      <c r="F120" s="72">
        <v>0.0</v>
      </c>
      <c r="G120" s="7"/>
      <c r="H120" s="7"/>
      <c r="I120" s="7"/>
      <c r="J120" s="7"/>
      <c r="K120" s="7"/>
      <c r="L120" s="7"/>
      <c r="M120" s="7"/>
      <c r="N120" s="7"/>
      <c r="O120" s="7"/>
      <c r="P120" s="7"/>
      <c r="Q120" s="7"/>
      <c r="R120" s="7"/>
      <c r="S120" s="7"/>
      <c r="T120" s="7"/>
      <c r="U120" s="7"/>
      <c r="V120" s="7"/>
      <c r="W120" s="7"/>
      <c r="X120" s="7"/>
      <c r="Y120" s="7"/>
      <c r="Z120" s="7"/>
    </row>
    <row r="121" ht="30.75" customHeight="1">
      <c r="A121" s="70" t="s">
        <v>136</v>
      </c>
      <c r="B121" s="13" t="s">
        <v>378</v>
      </c>
      <c r="C121" s="28" t="s">
        <v>379</v>
      </c>
      <c r="D121" s="28" t="s">
        <v>380</v>
      </c>
      <c r="E121" s="76"/>
      <c r="F121" s="72">
        <v>0.0</v>
      </c>
      <c r="G121" s="7"/>
      <c r="H121" s="7"/>
      <c r="I121" s="7"/>
      <c r="J121" s="7"/>
      <c r="K121" s="7"/>
      <c r="L121" s="7"/>
      <c r="M121" s="7"/>
      <c r="N121" s="7"/>
      <c r="O121" s="7"/>
      <c r="P121" s="7"/>
      <c r="Q121" s="7"/>
      <c r="R121" s="7"/>
      <c r="S121" s="7"/>
      <c r="T121" s="7"/>
      <c r="U121" s="7"/>
      <c r="V121" s="7"/>
      <c r="W121" s="7"/>
      <c r="X121" s="7"/>
      <c r="Y121" s="7"/>
      <c r="Z121" s="7"/>
    </row>
    <row r="122" ht="72.75" customHeight="1">
      <c r="A122" s="70" t="s">
        <v>136</v>
      </c>
      <c r="B122" s="13" t="s">
        <v>381</v>
      </c>
      <c r="C122" s="28" t="s">
        <v>382</v>
      </c>
      <c r="D122" s="28" t="s">
        <v>383</v>
      </c>
      <c r="E122" s="76"/>
      <c r="F122" s="72">
        <v>0.0</v>
      </c>
      <c r="G122" s="7"/>
      <c r="H122" s="7"/>
      <c r="I122" s="7"/>
      <c r="J122" s="7"/>
      <c r="K122" s="7"/>
      <c r="L122" s="7"/>
      <c r="M122" s="7"/>
      <c r="N122" s="7"/>
      <c r="O122" s="7"/>
      <c r="P122" s="7"/>
      <c r="Q122" s="7"/>
      <c r="R122" s="7"/>
      <c r="S122" s="7"/>
      <c r="T122" s="7"/>
      <c r="U122" s="7"/>
      <c r="V122" s="7"/>
      <c r="W122" s="7"/>
      <c r="X122" s="7"/>
      <c r="Y122" s="7"/>
      <c r="Z122" s="7"/>
    </row>
    <row r="123" ht="45.0" customHeight="1">
      <c r="A123" s="70" t="s">
        <v>136</v>
      </c>
      <c r="B123" s="13" t="s">
        <v>384</v>
      </c>
      <c r="C123" s="28" t="s">
        <v>385</v>
      </c>
      <c r="D123" s="28" t="s">
        <v>386</v>
      </c>
      <c r="E123" s="76"/>
      <c r="F123" s="72">
        <v>0.0</v>
      </c>
      <c r="G123" s="7"/>
      <c r="H123" s="7"/>
      <c r="I123" s="7"/>
      <c r="J123" s="7"/>
      <c r="K123" s="7"/>
      <c r="L123" s="7"/>
      <c r="M123" s="7"/>
      <c r="N123" s="7"/>
      <c r="O123" s="7"/>
      <c r="P123" s="7"/>
      <c r="Q123" s="7"/>
      <c r="R123" s="7"/>
      <c r="S123" s="7"/>
      <c r="T123" s="7"/>
      <c r="U123" s="7"/>
      <c r="V123" s="7"/>
      <c r="W123" s="7"/>
      <c r="X123" s="7"/>
      <c r="Y123" s="7"/>
      <c r="Z123" s="7"/>
    </row>
    <row r="124" ht="60.0" customHeight="1">
      <c r="A124" s="70" t="s">
        <v>136</v>
      </c>
      <c r="B124" s="13" t="s">
        <v>387</v>
      </c>
      <c r="C124" s="28" t="s">
        <v>388</v>
      </c>
      <c r="D124" s="28" t="s">
        <v>389</v>
      </c>
      <c r="E124" s="76"/>
      <c r="F124" s="72">
        <v>0.0</v>
      </c>
      <c r="G124" s="7"/>
      <c r="H124" s="7"/>
      <c r="I124" s="7"/>
      <c r="J124" s="7"/>
      <c r="K124" s="7"/>
      <c r="L124" s="7"/>
      <c r="M124" s="7"/>
      <c r="N124" s="7"/>
      <c r="O124" s="7"/>
      <c r="P124" s="7"/>
      <c r="Q124" s="7"/>
      <c r="R124" s="7"/>
      <c r="S124" s="7"/>
      <c r="T124" s="7"/>
      <c r="U124" s="7"/>
      <c r="V124" s="7"/>
      <c r="W124" s="7"/>
      <c r="X124" s="7"/>
      <c r="Y124" s="7"/>
      <c r="Z124" s="7"/>
    </row>
    <row r="125" ht="90.0" customHeight="1">
      <c r="A125" s="70" t="s">
        <v>136</v>
      </c>
      <c r="B125" s="13" t="s">
        <v>390</v>
      </c>
      <c r="C125" s="28" t="s">
        <v>391</v>
      </c>
      <c r="D125" s="28" t="s">
        <v>392</v>
      </c>
      <c r="E125" s="79"/>
      <c r="F125" s="80">
        <v>0.0</v>
      </c>
      <c r="G125" s="7"/>
      <c r="H125" s="7"/>
      <c r="I125" s="7"/>
      <c r="J125" s="7"/>
      <c r="K125" s="7"/>
      <c r="L125" s="7"/>
      <c r="M125" s="7"/>
      <c r="N125" s="7"/>
      <c r="O125" s="7"/>
      <c r="P125" s="7"/>
      <c r="Q125" s="7"/>
      <c r="R125" s="7"/>
      <c r="S125" s="7"/>
      <c r="T125" s="7"/>
      <c r="U125" s="7"/>
      <c r="V125" s="7"/>
      <c r="W125" s="7"/>
      <c r="X125" s="7"/>
      <c r="Y125" s="7"/>
      <c r="Z125" s="7"/>
    </row>
    <row r="126" ht="60.0" customHeight="1">
      <c r="A126" s="70" t="s">
        <v>136</v>
      </c>
      <c r="B126" s="13" t="s">
        <v>393</v>
      </c>
      <c r="C126" s="28" t="s">
        <v>394</v>
      </c>
      <c r="D126" s="28" t="s">
        <v>395</v>
      </c>
      <c r="E126" s="76"/>
      <c r="F126" s="72">
        <v>0.0</v>
      </c>
      <c r="G126" s="7"/>
      <c r="H126" s="7"/>
      <c r="I126" s="7"/>
      <c r="J126" s="7"/>
      <c r="K126" s="7"/>
      <c r="L126" s="7"/>
      <c r="M126" s="7"/>
      <c r="N126" s="7"/>
      <c r="O126" s="7"/>
      <c r="P126" s="7"/>
      <c r="Q126" s="7"/>
      <c r="R126" s="7"/>
      <c r="S126" s="7"/>
      <c r="T126" s="7"/>
      <c r="U126" s="7"/>
      <c r="V126" s="7"/>
      <c r="W126" s="7"/>
      <c r="X126" s="7"/>
      <c r="Y126" s="7"/>
      <c r="Z126" s="7"/>
    </row>
    <row r="127" ht="45.0" customHeight="1">
      <c r="A127" s="70" t="s">
        <v>136</v>
      </c>
      <c r="B127" s="13" t="s">
        <v>396</v>
      </c>
      <c r="C127" s="28" t="s">
        <v>397</v>
      </c>
      <c r="D127" s="28" t="s">
        <v>398</v>
      </c>
      <c r="E127" s="76"/>
      <c r="F127" s="72">
        <v>0.0</v>
      </c>
      <c r="G127" s="7"/>
      <c r="H127" s="7"/>
      <c r="I127" s="7"/>
      <c r="J127" s="7"/>
      <c r="K127" s="7"/>
      <c r="L127" s="7"/>
      <c r="M127" s="7"/>
      <c r="N127" s="7"/>
      <c r="O127" s="7"/>
      <c r="P127" s="7"/>
      <c r="Q127" s="7"/>
      <c r="R127" s="7"/>
      <c r="S127" s="7"/>
      <c r="T127" s="7"/>
      <c r="U127" s="7"/>
      <c r="V127" s="7"/>
      <c r="W127" s="7"/>
      <c r="X127" s="7"/>
      <c r="Y127" s="7"/>
      <c r="Z127" s="7"/>
    </row>
    <row r="128" ht="45.0" customHeight="1">
      <c r="A128" s="70" t="s">
        <v>136</v>
      </c>
      <c r="B128" s="13" t="s">
        <v>399</v>
      </c>
      <c r="C128" s="28" t="s">
        <v>400</v>
      </c>
      <c r="D128" s="28" t="s">
        <v>401</v>
      </c>
      <c r="E128" s="76"/>
      <c r="F128" s="72">
        <v>0.0</v>
      </c>
      <c r="G128" s="7"/>
      <c r="H128" s="7"/>
      <c r="I128" s="7"/>
      <c r="J128" s="7"/>
      <c r="K128" s="7"/>
      <c r="L128" s="7"/>
      <c r="M128" s="7"/>
      <c r="N128" s="7"/>
      <c r="O128" s="7"/>
      <c r="P128" s="7"/>
      <c r="Q128" s="7"/>
      <c r="R128" s="7"/>
      <c r="S128" s="7"/>
      <c r="T128" s="7"/>
      <c r="U128" s="7"/>
      <c r="V128" s="7"/>
      <c r="W128" s="7"/>
      <c r="X128" s="7"/>
      <c r="Y128" s="7"/>
      <c r="Z128" s="7"/>
    </row>
    <row r="129" ht="19.5" customHeight="1">
      <c r="A129" s="78"/>
      <c r="B129" s="68" t="s">
        <v>114</v>
      </c>
      <c r="C129" s="77" t="s">
        <v>115</v>
      </c>
      <c r="D129" s="3"/>
      <c r="E129" s="3"/>
      <c r="F129" s="66"/>
      <c r="G129" s="7"/>
      <c r="H129" s="7"/>
      <c r="I129" s="7"/>
      <c r="J129" s="7"/>
      <c r="K129" s="7"/>
      <c r="L129" s="7"/>
      <c r="M129" s="7"/>
      <c r="N129" s="7"/>
      <c r="O129" s="7"/>
      <c r="P129" s="7"/>
      <c r="Q129" s="7"/>
      <c r="R129" s="7"/>
      <c r="S129" s="7"/>
      <c r="T129" s="7"/>
      <c r="U129" s="7"/>
      <c r="V129" s="7"/>
      <c r="W129" s="7"/>
      <c r="X129" s="7"/>
      <c r="Y129" s="7"/>
      <c r="Z129" s="7"/>
    </row>
    <row r="130" ht="45.0" customHeight="1">
      <c r="A130" s="70" t="s">
        <v>136</v>
      </c>
      <c r="B130" s="13" t="s">
        <v>402</v>
      </c>
      <c r="C130" s="28" t="s">
        <v>403</v>
      </c>
      <c r="D130" s="28" t="s">
        <v>404</v>
      </c>
      <c r="E130" s="76"/>
      <c r="F130" s="72">
        <v>0.0</v>
      </c>
      <c r="G130" s="7"/>
      <c r="H130" s="7"/>
      <c r="I130" s="7"/>
      <c r="J130" s="7"/>
      <c r="K130" s="7"/>
      <c r="L130" s="7"/>
      <c r="M130" s="7"/>
      <c r="N130" s="7"/>
      <c r="O130" s="7"/>
      <c r="P130" s="7"/>
      <c r="Q130" s="7"/>
      <c r="R130" s="7"/>
      <c r="S130" s="7"/>
      <c r="T130" s="7"/>
      <c r="U130" s="7"/>
      <c r="V130" s="7"/>
      <c r="W130" s="7"/>
      <c r="X130" s="7"/>
      <c r="Y130" s="7"/>
      <c r="Z130" s="7"/>
    </row>
    <row r="131" ht="21.0" customHeight="1">
      <c r="A131" s="73"/>
      <c r="B131" s="81" t="s">
        <v>47</v>
      </c>
      <c r="C131" s="82" t="s">
        <v>48</v>
      </c>
      <c r="D131" s="3"/>
      <c r="E131" s="3"/>
      <c r="F131" s="66"/>
      <c r="G131" s="7"/>
      <c r="H131" s="7"/>
      <c r="I131" s="7"/>
      <c r="J131" s="7"/>
      <c r="K131" s="7"/>
      <c r="L131" s="7"/>
      <c r="M131" s="7"/>
      <c r="N131" s="7"/>
      <c r="O131" s="7"/>
      <c r="P131" s="7"/>
      <c r="Q131" s="7"/>
      <c r="R131" s="7"/>
      <c r="S131" s="7"/>
      <c r="T131" s="7"/>
      <c r="U131" s="7"/>
      <c r="V131" s="7"/>
      <c r="W131" s="7"/>
      <c r="X131" s="7"/>
      <c r="Y131" s="7"/>
      <c r="Z131" s="7"/>
    </row>
    <row r="132" ht="19.5" customHeight="1">
      <c r="A132" s="78"/>
      <c r="B132" s="68" t="s">
        <v>116</v>
      </c>
      <c r="C132" s="77" t="s">
        <v>117</v>
      </c>
      <c r="D132" s="3"/>
      <c r="E132" s="3"/>
      <c r="F132" s="66"/>
      <c r="G132" s="7"/>
      <c r="H132" s="7"/>
      <c r="I132" s="7"/>
      <c r="J132" s="7"/>
      <c r="K132" s="7"/>
      <c r="L132" s="7"/>
      <c r="M132" s="7"/>
      <c r="N132" s="7"/>
      <c r="O132" s="7"/>
      <c r="P132" s="7"/>
      <c r="Q132" s="7"/>
      <c r="R132" s="7"/>
      <c r="S132" s="7"/>
      <c r="T132" s="7"/>
      <c r="U132" s="7"/>
      <c r="V132" s="7"/>
      <c r="W132" s="7"/>
      <c r="X132" s="7"/>
      <c r="Y132" s="7"/>
      <c r="Z132" s="7"/>
    </row>
    <row r="133" ht="90.0" customHeight="1">
      <c r="A133" s="70" t="s">
        <v>136</v>
      </c>
      <c r="B133" s="13" t="s">
        <v>405</v>
      </c>
      <c r="C133" s="28" t="s">
        <v>406</v>
      </c>
      <c r="D133" s="28" t="s">
        <v>407</v>
      </c>
      <c r="E133" s="76"/>
      <c r="F133" s="72">
        <v>0.0</v>
      </c>
      <c r="G133" s="7"/>
      <c r="H133" s="7"/>
      <c r="I133" s="7"/>
      <c r="J133" s="7"/>
      <c r="K133" s="7"/>
      <c r="L133" s="7"/>
      <c r="M133" s="7"/>
      <c r="N133" s="7"/>
      <c r="O133" s="7"/>
      <c r="P133" s="7"/>
      <c r="Q133" s="7"/>
      <c r="R133" s="7"/>
      <c r="S133" s="7"/>
      <c r="T133" s="7"/>
      <c r="U133" s="7"/>
      <c r="V133" s="7"/>
      <c r="W133" s="7"/>
      <c r="X133" s="7"/>
      <c r="Y133" s="7"/>
      <c r="Z133" s="7"/>
    </row>
    <row r="134" ht="75.0" customHeight="1">
      <c r="A134" s="70" t="s">
        <v>136</v>
      </c>
      <c r="B134" s="13" t="s">
        <v>408</v>
      </c>
      <c r="C134" s="28" t="s">
        <v>409</v>
      </c>
      <c r="D134" s="28" t="s">
        <v>410</v>
      </c>
      <c r="E134" s="76"/>
      <c r="F134" s="72">
        <v>0.0</v>
      </c>
      <c r="G134" s="7"/>
      <c r="H134" s="7"/>
      <c r="I134" s="7"/>
      <c r="J134" s="7"/>
      <c r="K134" s="7"/>
      <c r="L134" s="7"/>
      <c r="M134" s="7"/>
      <c r="N134" s="7"/>
      <c r="O134" s="7"/>
      <c r="P134" s="7"/>
      <c r="Q134" s="7"/>
      <c r="R134" s="7"/>
      <c r="S134" s="7"/>
      <c r="T134" s="7"/>
      <c r="U134" s="7"/>
      <c r="V134" s="7"/>
      <c r="W134" s="7"/>
      <c r="X134" s="7"/>
      <c r="Y134" s="7"/>
      <c r="Z134" s="7"/>
    </row>
    <row r="135" ht="60.0" customHeight="1">
      <c r="A135" s="70" t="s">
        <v>136</v>
      </c>
      <c r="B135" s="13" t="s">
        <v>411</v>
      </c>
      <c r="C135" s="28" t="s">
        <v>412</v>
      </c>
      <c r="D135" s="28" t="s">
        <v>413</v>
      </c>
      <c r="E135" s="76"/>
      <c r="F135" s="72">
        <v>0.0</v>
      </c>
      <c r="G135" s="7"/>
      <c r="H135" s="7"/>
      <c r="I135" s="7"/>
      <c r="J135" s="7"/>
      <c r="K135" s="7"/>
      <c r="L135" s="7"/>
      <c r="M135" s="7"/>
      <c r="N135" s="7"/>
      <c r="O135" s="7"/>
      <c r="P135" s="7"/>
      <c r="Q135" s="7"/>
      <c r="R135" s="7"/>
      <c r="S135" s="7"/>
      <c r="T135" s="7"/>
      <c r="U135" s="7"/>
      <c r="V135" s="7"/>
      <c r="W135" s="7"/>
      <c r="X135" s="7"/>
      <c r="Y135" s="7"/>
      <c r="Z135" s="7"/>
    </row>
    <row r="136" ht="19.5" customHeight="1">
      <c r="A136" s="78"/>
      <c r="B136" s="68" t="s">
        <v>118</v>
      </c>
      <c r="C136" s="77" t="s">
        <v>119</v>
      </c>
      <c r="D136" s="3"/>
      <c r="E136" s="3"/>
      <c r="F136" s="66"/>
      <c r="G136" s="7"/>
      <c r="H136" s="7"/>
      <c r="I136" s="7"/>
      <c r="J136" s="7"/>
      <c r="K136" s="7"/>
      <c r="L136" s="7"/>
      <c r="M136" s="7"/>
      <c r="N136" s="7"/>
      <c r="O136" s="7"/>
      <c r="P136" s="7"/>
      <c r="Q136" s="7"/>
      <c r="R136" s="7"/>
      <c r="S136" s="7"/>
      <c r="T136" s="7"/>
      <c r="U136" s="7"/>
      <c r="V136" s="7"/>
      <c r="W136" s="7"/>
      <c r="X136" s="7"/>
      <c r="Y136" s="7"/>
      <c r="Z136" s="7"/>
    </row>
    <row r="137" ht="30.0" customHeight="1">
      <c r="A137" s="70" t="s">
        <v>136</v>
      </c>
      <c r="B137" s="13" t="s">
        <v>414</v>
      </c>
      <c r="C137" s="28" t="s">
        <v>415</v>
      </c>
      <c r="D137" s="28" t="s">
        <v>416</v>
      </c>
      <c r="E137" s="76"/>
      <c r="F137" s="72">
        <v>0.0</v>
      </c>
      <c r="G137" s="7"/>
      <c r="H137" s="7"/>
      <c r="I137" s="7"/>
      <c r="J137" s="7"/>
      <c r="K137" s="7"/>
      <c r="L137" s="7"/>
      <c r="M137" s="7"/>
      <c r="N137" s="7"/>
      <c r="O137" s="7"/>
      <c r="P137" s="7"/>
      <c r="Q137" s="7"/>
      <c r="R137" s="7"/>
      <c r="S137" s="7"/>
      <c r="T137" s="7"/>
      <c r="U137" s="7"/>
      <c r="V137" s="7"/>
      <c r="W137" s="7"/>
      <c r="X137" s="7"/>
      <c r="Y137" s="7"/>
      <c r="Z137" s="7"/>
    </row>
    <row r="138" ht="45.0" customHeight="1">
      <c r="A138" s="70" t="s">
        <v>136</v>
      </c>
      <c r="B138" s="13" t="s">
        <v>417</v>
      </c>
      <c r="C138" s="28" t="s">
        <v>418</v>
      </c>
      <c r="D138" s="28" t="s">
        <v>419</v>
      </c>
      <c r="E138" s="76"/>
      <c r="F138" s="72">
        <v>0.0</v>
      </c>
      <c r="G138" s="7"/>
      <c r="H138" s="7"/>
      <c r="I138" s="7"/>
      <c r="J138" s="7"/>
      <c r="K138" s="7"/>
      <c r="L138" s="7"/>
      <c r="M138" s="7"/>
      <c r="N138" s="7"/>
      <c r="O138" s="7"/>
      <c r="P138" s="7"/>
      <c r="Q138" s="7"/>
      <c r="R138" s="7"/>
      <c r="S138" s="7"/>
      <c r="T138" s="7"/>
      <c r="U138" s="7"/>
      <c r="V138" s="7"/>
      <c r="W138" s="7"/>
      <c r="X138" s="7"/>
      <c r="Y138" s="7"/>
      <c r="Z138" s="7"/>
    </row>
    <row r="139" ht="19.5" customHeight="1">
      <c r="A139" s="63"/>
      <c r="B139" s="64" t="s">
        <v>51</v>
      </c>
      <c r="C139" s="74" t="s">
        <v>52</v>
      </c>
      <c r="D139" s="3"/>
      <c r="E139" s="3"/>
      <c r="F139" s="66"/>
      <c r="G139" s="7"/>
      <c r="H139" s="7"/>
      <c r="I139" s="7"/>
      <c r="J139" s="7"/>
      <c r="K139" s="7"/>
      <c r="L139" s="7"/>
      <c r="M139" s="7"/>
      <c r="N139" s="7"/>
      <c r="O139" s="7"/>
      <c r="P139" s="7"/>
      <c r="Q139" s="7"/>
      <c r="R139" s="7"/>
      <c r="S139" s="7"/>
      <c r="T139" s="7"/>
      <c r="U139" s="7"/>
      <c r="V139" s="7"/>
      <c r="W139" s="7"/>
      <c r="X139" s="7"/>
      <c r="Y139" s="7"/>
      <c r="Z139" s="7"/>
    </row>
    <row r="140" ht="19.5" customHeight="1">
      <c r="A140" s="78"/>
      <c r="B140" s="68" t="s">
        <v>120</v>
      </c>
      <c r="C140" s="77" t="s">
        <v>121</v>
      </c>
      <c r="D140" s="3"/>
      <c r="E140" s="3"/>
      <c r="F140" s="66"/>
      <c r="G140" s="7"/>
      <c r="H140" s="7"/>
      <c r="I140" s="7"/>
      <c r="J140" s="7"/>
      <c r="K140" s="7"/>
      <c r="L140" s="7"/>
      <c r="M140" s="7"/>
      <c r="N140" s="7"/>
      <c r="O140" s="7"/>
      <c r="P140" s="7"/>
      <c r="Q140" s="7"/>
      <c r="R140" s="7"/>
      <c r="S140" s="7"/>
      <c r="T140" s="7"/>
      <c r="U140" s="7"/>
      <c r="V140" s="7"/>
      <c r="W140" s="7"/>
      <c r="X140" s="7"/>
      <c r="Y140" s="7"/>
      <c r="Z140" s="7"/>
    </row>
    <row r="141" ht="45.0" customHeight="1">
      <c r="A141" s="70" t="s">
        <v>136</v>
      </c>
      <c r="B141" s="13" t="s">
        <v>420</v>
      </c>
      <c r="C141" s="28" t="s">
        <v>421</v>
      </c>
      <c r="D141" s="28" t="s">
        <v>422</v>
      </c>
      <c r="E141" s="76"/>
      <c r="F141" s="72">
        <v>0.0</v>
      </c>
      <c r="G141" s="7"/>
      <c r="H141" s="7"/>
      <c r="I141" s="7"/>
      <c r="J141" s="7"/>
      <c r="K141" s="7"/>
      <c r="L141" s="7"/>
      <c r="M141" s="7"/>
      <c r="N141" s="7"/>
      <c r="O141" s="7"/>
      <c r="P141" s="7"/>
      <c r="Q141" s="7"/>
      <c r="R141" s="7"/>
      <c r="S141" s="7"/>
      <c r="T141" s="7"/>
      <c r="U141" s="7"/>
      <c r="V141" s="7"/>
      <c r="W141" s="7"/>
      <c r="X141" s="7"/>
      <c r="Y141" s="7"/>
      <c r="Z141" s="7"/>
    </row>
    <row r="142" ht="75.0" customHeight="1">
      <c r="A142" s="70" t="s">
        <v>136</v>
      </c>
      <c r="B142" s="13" t="s">
        <v>423</v>
      </c>
      <c r="C142" s="28" t="s">
        <v>424</v>
      </c>
      <c r="D142" s="28" t="s">
        <v>425</v>
      </c>
      <c r="E142" s="76"/>
      <c r="F142" s="72">
        <v>0.0</v>
      </c>
      <c r="G142" s="7"/>
      <c r="H142" s="7"/>
      <c r="I142" s="7"/>
      <c r="J142" s="7"/>
      <c r="K142" s="7"/>
      <c r="L142" s="7"/>
      <c r="M142" s="7"/>
      <c r="N142" s="7"/>
      <c r="O142" s="7"/>
      <c r="P142" s="7"/>
      <c r="Q142" s="7"/>
      <c r="R142" s="7"/>
      <c r="S142" s="7"/>
      <c r="T142" s="7"/>
      <c r="U142" s="7"/>
      <c r="V142" s="7"/>
      <c r="W142" s="7"/>
      <c r="X142" s="7"/>
      <c r="Y142" s="7"/>
      <c r="Z142" s="7"/>
    </row>
    <row r="143" ht="90.0" customHeight="1">
      <c r="A143" s="70" t="s">
        <v>136</v>
      </c>
      <c r="B143" s="13" t="s">
        <v>426</v>
      </c>
      <c r="C143" s="28" t="s">
        <v>427</v>
      </c>
      <c r="D143" s="28" t="s">
        <v>428</v>
      </c>
      <c r="E143" s="76"/>
      <c r="F143" s="72">
        <v>0.0</v>
      </c>
      <c r="G143" s="7"/>
      <c r="H143" s="7"/>
      <c r="I143" s="7"/>
      <c r="J143" s="7"/>
      <c r="K143" s="7"/>
      <c r="L143" s="7"/>
      <c r="M143" s="7"/>
      <c r="N143" s="7"/>
      <c r="O143" s="7"/>
      <c r="P143" s="7"/>
      <c r="Q143" s="7"/>
      <c r="R143" s="7"/>
      <c r="S143" s="7"/>
      <c r="T143" s="7"/>
      <c r="U143" s="7"/>
      <c r="V143" s="7"/>
      <c r="W143" s="7"/>
      <c r="X143" s="7"/>
      <c r="Y143" s="7"/>
      <c r="Z143" s="7"/>
    </row>
    <row r="144" ht="78.75" customHeight="1">
      <c r="A144" s="70" t="s">
        <v>136</v>
      </c>
      <c r="B144" s="13" t="s">
        <v>429</v>
      </c>
      <c r="C144" s="28" t="s">
        <v>430</v>
      </c>
      <c r="D144" s="28" t="s">
        <v>431</v>
      </c>
      <c r="E144" s="76"/>
      <c r="F144" s="72">
        <v>0.0</v>
      </c>
      <c r="G144" s="7"/>
      <c r="H144" s="7"/>
      <c r="I144" s="7"/>
      <c r="J144" s="7"/>
      <c r="K144" s="7"/>
      <c r="L144" s="7"/>
      <c r="M144" s="7"/>
      <c r="N144" s="7"/>
      <c r="O144" s="7"/>
      <c r="P144" s="7"/>
      <c r="Q144" s="7"/>
      <c r="R144" s="7"/>
      <c r="S144" s="7"/>
      <c r="T144" s="7"/>
      <c r="U144" s="7"/>
      <c r="V144" s="7"/>
      <c r="W144" s="7"/>
      <c r="X144" s="7"/>
      <c r="Y144" s="7"/>
      <c r="Z144" s="7"/>
    </row>
    <row r="145" ht="60.0" customHeight="1">
      <c r="A145" s="70" t="s">
        <v>136</v>
      </c>
      <c r="B145" s="13" t="s">
        <v>432</v>
      </c>
      <c r="C145" s="28" t="s">
        <v>433</v>
      </c>
      <c r="D145" s="28" t="s">
        <v>434</v>
      </c>
      <c r="E145" s="76"/>
      <c r="F145" s="72">
        <v>0.0</v>
      </c>
      <c r="G145" s="7"/>
      <c r="H145" s="7"/>
      <c r="I145" s="7"/>
      <c r="J145" s="7"/>
      <c r="K145" s="7"/>
      <c r="L145" s="7"/>
      <c r="M145" s="7"/>
      <c r="N145" s="7"/>
      <c r="O145" s="7"/>
      <c r="P145" s="7"/>
      <c r="Q145" s="7"/>
      <c r="R145" s="7"/>
      <c r="S145" s="7"/>
      <c r="T145" s="7"/>
      <c r="U145" s="7"/>
      <c r="V145" s="7"/>
      <c r="W145" s="7"/>
      <c r="X145" s="7"/>
      <c r="Y145" s="7"/>
      <c r="Z145" s="7"/>
    </row>
    <row r="146" ht="75.0" customHeight="1">
      <c r="A146" s="70" t="s">
        <v>136</v>
      </c>
      <c r="B146" s="13" t="s">
        <v>435</v>
      </c>
      <c r="C146" s="28" t="s">
        <v>436</v>
      </c>
      <c r="D146" s="28" t="s">
        <v>437</v>
      </c>
      <c r="E146" s="76"/>
      <c r="F146" s="72">
        <v>0.0</v>
      </c>
      <c r="G146" s="7"/>
      <c r="H146" s="7"/>
      <c r="I146" s="7"/>
      <c r="J146" s="7"/>
      <c r="K146" s="7"/>
      <c r="L146" s="7"/>
      <c r="M146" s="7"/>
      <c r="N146" s="7"/>
      <c r="O146" s="7"/>
      <c r="P146" s="7"/>
      <c r="Q146" s="7"/>
      <c r="R146" s="7"/>
      <c r="S146" s="7"/>
      <c r="T146" s="7"/>
      <c r="U146" s="7"/>
      <c r="V146" s="7"/>
      <c r="W146" s="7"/>
      <c r="X146" s="7"/>
      <c r="Y146" s="7"/>
      <c r="Z146" s="7"/>
    </row>
    <row r="147" ht="75.0" customHeight="1">
      <c r="A147" s="70" t="s">
        <v>136</v>
      </c>
      <c r="B147" s="13" t="s">
        <v>438</v>
      </c>
      <c r="C147" s="28" t="s">
        <v>439</v>
      </c>
      <c r="D147" s="28" t="s">
        <v>440</v>
      </c>
      <c r="E147" s="76"/>
      <c r="F147" s="72">
        <v>0.0</v>
      </c>
      <c r="G147" s="7"/>
      <c r="H147" s="7"/>
      <c r="I147" s="7"/>
      <c r="J147" s="7"/>
      <c r="K147" s="7"/>
      <c r="L147" s="7"/>
      <c r="M147" s="7"/>
      <c r="N147" s="7"/>
      <c r="O147" s="7"/>
      <c r="P147" s="7"/>
      <c r="Q147" s="7"/>
      <c r="R147" s="7"/>
      <c r="S147" s="7"/>
      <c r="T147" s="7"/>
      <c r="U147" s="7"/>
      <c r="V147" s="7"/>
      <c r="W147" s="7"/>
      <c r="X147" s="7"/>
      <c r="Y147" s="7"/>
      <c r="Z147" s="7"/>
    </row>
    <row r="148" ht="21.0" customHeight="1">
      <c r="A148" s="73"/>
      <c r="B148" s="64" t="s">
        <v>53</v>
      </c>
      <c r="C148" s="74" t="s">
        <v>54</v>
      </c>
      <c r="D148" s="3"/>
      <c r="E148" s="3"/>
      <c r="F148" s="66"/>
      <c r="G148" s="7"/>
      <c r="H148" s="7"/>
      <c r="I148" s="7"/>
      <c r="J148" s="7"/>
      <c r="K148" s="7"/>
      <c r="L148" s="7"/>
      <c r="M148" s="7"/>
      <c r="N148" s="7"/>
      <c r="O148" s="7"/>
      <c r="P148" s="7"/>
      <c r="Q148" s="7"/>
      <c r="R148" s="7"/>
      <c r="S148" s="7"/>
      <c r="T148" s="7"/>
      <c r="U148" s="7"/>
      <c r="V148" s="7"/>
      <c r="W148" s="7"/>
      <c r="X148" s="7"/>
      <c r="Y148" s="7"/>
      <c r="Z148" s="7"/>
    </row>
    <row r="149" ht="19.5" customHeight="1">
      <c r="A149" s="78"/>
      <c r="B149" s="68" t="s">
        <v>122</v>
      </c>
      <c r="C149" s="77" t="s">
        <v>123</v>
      </c>
      <c r="D149" s="3"/>
      <c r="E149" s="3"/>
      <c r="F149" s="66"/>
      <c r="G149" s="7"/>
      <c r="H149" s="7"/>
      <c r="I149" s="7"/>
      <c r="J149" s="7"/>
      <c r="K149" s="7"/>
      <c r="L149" s="7"/>
      <c r="M149" s="7"/>
      <c r="N149" s="7"/>
      <c r="O149" s="7"/>
      <c r="P149" s="7"/>
      <c r="Q149" s="7"/>
      <c r="R149" s="7"/>
      <c r="S149" s="7"/>
      <c r="T149" s="7"/>
      <c r="U149" s="7"/>
      <c r="V149" s="7"/>
      <c r="W149" s="7"/>
      <c r="X149" s="7"/>
      <c r="Y149" s="7"/>
      <c r="Z149" s="7"/>
    </row>
    <row r="150" ht="63.0" customHeight="1">
      <c r="A150" s="70" t="s">
        <v>136</v>
      </c>
      <c r="B150" s="13" t="s">
        <v>441</v>
      </c>
      <c r="C150" s="28" t="s">
        <v>442</v>
      </c>
      <c r="D150" s="28" t="s">
        <v>443</v>
      </c>
      <c r="E150" s="76"/>
      <c r="F150" s="72">
        <v>0.0</v>
      </c>
      <c r="G150" s="7"/>
      <c r="H150" s="7"/>
      <c r="I150" s="7"/>
      <c r="J150" s="7"/>
      <c r="K150" s="7"/>
      <c r="L150" s="7"/>
      <c r="M150" s="7"/>
      <c r="N150" s="7"/>
      <c r="O150" s="7"/>
      <c r="P150" s="7"/>
      <c r="Q150" s="7"/>
      <c r="R150" s="7"/>
      <c r="S150" s="7"/>
      <c r="T150" s="7"/>
      <c r="U150" s="7"/>
      <c r="V150" s="7"/>
      <c r="W150" s="7"/>
      <c r="X150" s="7"/>
      <c r="Y150" s="7"/>
      <c r="Z150" s="7"/>
    </row>
    <row r="151" ht="75.0" customHeight="1">
      <c r="A151" s="70" t="s">
        <v>136</v>
      </c>
      <c r="B151" s="13" t="s">
        <v>444</v>
      </c>
      <c r="C151" s="28" t="s">
        <v>445</v>
      </c>
      <c r="D151" s="28" t="s">
        <v>446</v>
      </c>
      <c r="E151" s="76"/>
      <c r="F151" s="72">
        <v>0.0</v>
      </c>
      <c r="G151" s="7"/>
      <c r="H151" s="7"/>
      <c r="I151" s="7"/>
      <c r="J151" s="7"/>
      <c r="K151" s="7"/>
      <c r="L151" s="7"/>
      <c r="M151" s="7"/>
      <c r="N151" s="7"/>
      <c r="O151" s="7"/>
      <c r="P151" s="7"/>
      <c r="Q151" s="7"/>
      <c r="R151" s="7"/>
      <c r="S151" s="7"/>
      <c r="T151" s="7"/>
      <c r="U151" s="7"/>
      <c r="V151" s="7"/>
      <c r="W151" s="7"/>
      <c r="X151" s="7"/>
      <c r="Y151" s="7"/>
      <c r="Z151" s="7"/>
    </row>
    <row r="152" ht="70.5" customHeight="1">
      <c r="A152" s="70" t="s">
        <v>136</v>
      </c>
      <c r="B152" s="13" t="s">
        <v>447</v>
      </c>
      <c r="C152" s="28" t="s">
        <v>448</v>
      </c>
      <c r="D152" s="28" t="s">
        <v>449</v>
      </c>
      <c r="E152" s="76"/>
      <c r="F152" s="72">
        <v>0.0</v>
      </c>
      <c r="G152" s="7"/>
      <c r="H152" s="7"/>
      <c r="I152" s="7"/>
      <c r="J152" s="7"/>
      <c r="K152" s="7"/>
      <c r="L152" s="7"/>
      <c r="M152" s="7"/>
      <c r="N152" s="7"/>
      <c r="O152" s="7"/>
      <c r="P152" s="7"/>
      <c r="Q152" s="7"/>
      <c r="R152" s="7"/>
      <c r="S152" s="7"/>
      <c r="T152" s="7"/>
      <c r="U152" s="7"/>
      <c r="V152" s="7"/>
      <c r="W152" s="7"/>
      <c r="X152" s="7"/>
      <c r="Y152" s="7"/>
      <c r="Z152" s="7"/>
    </row>
    <row r="153" ht="19.5" customHeight="1">
      <c r="A153" s="78"/>
      <c r="B153" s="68" t="s">
        <v>124</v>
      </c>
      <c r="C153" s="77" t="s">
        <v>125</v>
      </c>
      <c r="D153" s="3"/>
      <c r="E153" s="3"/>
      <c r="F153" s="66"/>
      <c r="G153" s="7"/>
      <c r="H153" s="7"/>
      <c r="I153" s="7"/>
      <c r="J153" s="7"/>
      <c r="K153" s="7"/>
      <c r="L153" s="7"/>
      <c r="M153" s="7"/>
      <c r="N153" s="7"/>
      <c r="O153" s="7"/>
      <c r="P153" s="7"/>
      <c r="Q153" s="7"/>
      <c r="R153" s="7"/>
      <c r="S153" s="7"/>
      <c r="T153" s="7"/>
      <c r="U153" s="7"/>
      <c r="V153" s="7"/>
      <c r="W153" s="7"/>
      <c r="X153" s="7"/>
      <c r="Y153" s="7"/>
      <c r="Z153" s="7"/>
    </row>
    <row r="154" ht="45.0" customHeight="1">
      <c r="A154" s="70" t="s">
        <v>136</v>
      </c>
      <c r="B154" s="13" t="s">
        <v>450</v>
      </c>
      <c r="C154" s="28" t="s">
        <v>451</v>
      </c>
      <c r="D154" s="28" t="s">
        <v>452</v>
      </c>
      <c r="E154" s="76"/>
      <c r="F154" s="72">
        <v>0.0</v>
      </c>
      <c r="G154" s="7"/>
      <c r="H154" s="7"/>
      <c r="I154" s="7"/>
      <c r="J154" s="7"/>
      <c r="K154" s="7"/>
      <c r="L154" s="7"/>
      <c r="M154" s="7"/>
      <c r="N154" s="7"/>
      <c r="O154" s="7"/>
      <c r="P154" s="7"/>
      <c r="Q154" s="7"/>
      <c r="R154" s="7"/>
      <c r="S154" s="7"/>
      <c r="T154" s="7"/>
      <c r="U154" s="7"/>
      <c r="V154" s="7"/>
      <c r="W154" s="7"/>
      <c r="X154" s="7"/>
      <c r="Y154" s="7"/>
      <c r="Z154" s="7"/>
    </row>
    <row r="155" ht="19.5" customHeight="1">
      <c r="A155" s="63"/>
      <c r="B155" s="64" t="s">
        <v>55</v>
      </c>
      <c r="C155" s="74" t="s">
        <v>56</v>
      </c>
      <c r="D155" s="3"/>
      <c r="E155" s="3"/>
      <c r="F155" s="66"/>
      <c r="G155" s="7"/>
      <c r="H155" s="7"/>
      <c r="I155" s="7"/>
      <c r="J155" s="7"/>
      <c r="K155" s="7"/>
      <c r="L155" s="7"/>
      <c r="M155" s="7"/>
      <c r="N155" s="7"/>
      <c r="O155" s="7"/>
      <c r="P155" s="7"/>
      <c r="Q155" s="7"/>
      <c r="R155" s="7"/>
      <c r="S155" s="7"/>
      <c r="T155" s="7"/>
      <c r="U155" s="7"/>
      <c r="V155" s="7"/>
      <c r="W155" s="7"/>
      <c r="X155" s="7"/>
      <c r="Y155" s="7"/>
      <c r="Z155" s="7"/>
    </row>
    <row r="156" ht="19.5" customHeight="1">
      <c r="A156" s="78"/>
      <c r="B156" s="68" t="s">
        <v>126</v>
      </c>
      <c r="C156" s="77" t="s">
        <v>127</v>
      </c>
      <c r="D156" s="3"/>
      <c r="E156" s="3"/>
      <c r="F156" s="66"/>
      <c r="G156" s="7"/>
      <c r="H156" s="7"/>
      <c r="I156" s="7"/>
      <c r="J156" s="7"/>
      <c r="K156" s="7"/>
      <c r="L156" s="7"/>
      <c r="M156" s="7"/>
      <c r="N156" s="7"/>
      <c r="O156" s="7"/>
      <c r="P156" s="7"/>
      <c r="Q156" s="7"/>
      <c r="R156" s="7"/>
      <c r="S156" s="7"/>
      <c r="T156" s="7"/>
      <c r="U156" s="7"/>
      <c r="V156" s="7"/>
      <c r="W156" s="7"/>
      <c r="X156" s="7"/>
      <c r="Y156" s="7"/>
      <c r="Z156" s="7"/>
    </row>
    <row r="157" ht="75.0" customHeight="1">
      <c r="A157" s="70" t="s">
        <v>136</v>
      </c>
      <c r="B157" s="13" t="s">
        <v>453</v>
      </c>
      <c r="C157" s="28" t="s">
        <v>454</v>
      </c>
      <c r="D157" s="28" t="s">
        <v>455</v>
      </c>
      <c r="E157" s="76"/>
      <c r="F157" s="72">
        <v>0.0</v>
      </c>
      <c r="G157" s="7"/>
      <c r="H157" s="7"/>
      <c r="I157" s="7"/>
      <c r="J157" s="7"/>
      <c r="K157" s="7"/>
      <c r="L157" s="7"/>
      <c r="M157" s="7"/>
      <c r="N157" s="7"/>
      <c r="O157" s="7"/>
      <c r="P157" s="7"/>
      <c r="Q157" s="7"/>
      <c r="R157" s="7"/>
      <c r="S157" s="7"/>
      <c r="T157" s="7"/>
      <c r="U157" s="7"/>
      <c r="V157" s="7"/>
      <c r="W157" s="7"/>
      <c r="X157" s="7"/>
      <c r="Y157" s="7"/>
      <c r="Z157" s="7"/>
    </row>
    <row r="158" ht="75.0" customHeight="1">
      <c r="A158" s="70" t="s">
        <v>136</v>
      </c>
      <c r="B158" s="13" t="s">
        <v>456</v>
      </c>
      <c r="C158" s="28" t="s">
        <v>457</v>
      </c>
      <c r="D158" s="28" t="s">
        <v>458</v>
      </c>
      <c r="E158" s="76"/>
      <c r="F158" s="72">
        <v>0.0</v>
      </c>
      <c r="G158" s="7"/>
      <c r="H158" s="7"/>
      <c r="I158" s="7"/>
      <c r="J158" s="7"/>
      <c r="K158" s="7"/>
      <c r="L158" s="7"/>
      <c r="M158" s="7"/>
      <c r="N158" s="7"/>
      <c r="O158" s="7"/>
      <c r="P158" s="7"/>
      <c r="Q158" s="7"/>
      <c r="R158" s="7"/>
      <c r="S158" s="7"/>
      <c r="T158" s="7"/>
      <c r="U158" s="7"/>
      <c r="V158" s="7"/>
      <c r="W158" s="7"/>
      <c r="X158" s="7"/>
      <c r="Y158" s="7"/>
      <c r="Z158" s="7"/>
    </row>
    <row r="159" ht="75.0" customHeight="1">
      <c r="A159" s="70" t="s">
        <v>136</v>
      </c>
      <c r="B159" s="13" t="s">
        <v>459</v>
      </c>
      <c r="C159" s="28" t="s">
        <v>460</v>
      </c>
      <c r="D159" s="28" t="s">
        <v>461</v>
      </c>
      <c r="E159" s="76"/>
      <c r="F159" s="72">
        <v>0.0</v>
      </c>
      <c r="G159" s="7"/>
      <c r="H159" s="7"/>
      <c r="I159" s="7"/>
      <c r="J159" s="7"/>
      <c r="K159" s="7"/>
      <c r="L159" s="7"/>
      <c r="M159" s="7"/>
      <c r="N159" s="7"/>
      <c r="O159" s="7"/>
      <c r="P159" s="7"/>
      <c r="Q159" s="7"/>
      <c r="R159" s="7"/>
      <c r="S159" s="7"/>
      <c r="T159" s="7"/>
      <c r="U159" s="7"/>
      <c r="V159" s="7"/>
      <c r="W159" s="7"/>
      <c r="X159" s="7"/>
      <c r="Y159" s="7"/>
      <c r="Z159" s="7"/>
    </row>
    <row r="160" ht="60.0" customHeight="1">
      <c r="A160" s="70" t="s">
        <v>136</v>
      </c>
      <c r="B160" s="13" t="s">
        <v>462</v>
      </c>
      <c r="C160" s="28" t="s">
        <v>463</v>
      </c>
      <c r="D160" s="28" t="s">
        <v>464</v>
      </c>
      <c r="E160" s="76"/>
      <c r="F160" s="72">
        <v>0.0</v>
      </c>
      <c r="G160" s="7"/>
      <c r="H160" s="7"/>
      <c r="I160" s="7"/>
      <c r="J160" s="7"/>
      <c r="K160" s="7"/>
      <c r="L160" s="7"/>
      <c r="M160" s="7"/>
      <c r="N160" s="7"/>
      <c r="O160" s="7"/>
      <c r="P160" s="7"/>
      <c r="Q160" s="7"/>
      <c r="R160" s="7"/>
      <c r="S160" s="7"/>
      <c r="T160" s="7"/>
      <c r="U160" s="7"/>
      <c r="V160" s="7"/>
      <c r="W160" s="7"/>
      <c r="X160" s="7"/>
      <c r="Y160" s="7"/>
      <c r="Z160" s="7"/>
    </row>
    <row r="161" ht="45.0" customHeight="1">
      <c r="A161" s="70" t="s">
        <v>136</v>
      </c>
      <c r="B161" s="13" t="s">
        <v>465</v>
      </c>
      <c r="C161" s="28" t="s">
        <v>466</v>
      </c>
      <c r="D161" s="28" t="s">
        <v>467</v>
      </c>
      <c r="E161" s="76"/>
      <c r="F161" s="72">
        <v>0.0</v>
      </c>
      <c r="G161" s="7"/>
      <c r="H161" s="7"/>
      <c r="I161" s="7"/>
      <c r="J161" s="7"/>
      <c r="K161" s="7"/>
      <c r="L161" s="7"/>
      <c r="M161" s="7"/>
      <c r="N161" s="7"/>
      <c r="O161" s="7"/>
      <c r="P161" s="7"/>
      <c r="Q161" s="7"/>
      <c r="R161" s="7"/>
      <c r="S161" s="7"/>
      <c r="T161" s="7"/>
      <c r="U161" s="7"/>
      <c r="V161" s="7"/>
      <c r="W161" s="7"/>
      <c r="X161" s="7"/>
      <c r="Y161" s="7"/>
      <c r="Z161" s="7"/>
    </row>
    <row r="162" ht="19.5" customHeight="1">
      <c r="A162" s="78"/>
      <c r="B162" s="68" t="s">
        <v>128</v>
      </c>
      <c r="C162" s="77" t="s">
        <v>129</v>
      </c>
      <c r="D162" s="3"/>
      <c r="E162" s="3"/>
      <c r="F162" s="66"/>
      <c r="G162" s="7"/>
      <c r="H162" s="7"/>
      <c r="I162" s="7"/>
      <c r="J162" s="7"/>
      <c r="K162" s="7"/>
      <c r="L162" s="7"/>
      <c r="M162" s="7"/>
      <c r="N162" s="7"/>
      <c r="O162" s="7"/>
      <c r="P162" s="7"/>
      <c r="Q162" s="7"/>
      <c r="R162" s="7"/>
      <c r="S162" s="7"/>
      <c r="T162" s="7"/>
      <c r="U162" s="7"/>
      <c r="V162" s="7"/>
      <c r="W162" s="7"/>
      <c r="X162" s="7"/>
      <c r="Y162" s="7"/>
      <c r="Z162" s="7"/>
    </row>
    <row r="163" ht="90.0" customHeight="1">
      <c r="A163" s="70" t="s">
        <v>136</v>
      </c>
      <c r="B163" s="13" t="s">
        <v>468</v>
      </c>
      <c r="C163" s="28" t="s">
        <v>469</v>
      </c>
      <c r="D163" s="28" t="s">
        <v>470</v>
      </c>
      <c r="E163" s="76"/>
      <c r="F163" s="72">
        <v>0.0</v>
      </c>
      <c r="G163" s="7"/>
      <c r="H163" s="7"/>
      <c r="I163" s="7"/>
      <c r="J163" s="7"/>
      <c r="K163" s="7"/>
      <c r="L163" s="7"/>
      <c r="M163" s="7"/>
      <c r="N163" s="7"/>
      <c r="O163" s="7"/>
      <c r="P163" s="7"/>
      <c r="Q163" s="7"/>
      <c r="R163" s="7"/>
      <c r="S163" s="7"/>
      <c r="T163" s="7"/>
      <c r="U163" s="7"/>
      <c r="V163" s="7"/>
      <c r="W163" s="7"/>
      <c r="X163" s="7"/>
      <c r="Y163" s="7"/>
      <c r="Z163" s="7"/>
    </row>
    <row r="164" ht="90.0" customHeight="1">
      <c r="A164" s="70" t="s">
        <v>136</v>
      </c>
      <c r="B164" s="13" t="s">
        <v>471</v>
      </c>
      <c r="C164" s="28" t="s">
        <v>472</v>
      </c>
      <c r="D164" s="28" t="s">
        <v>473</v>
      </c>
      <c r="E164" s="76"/>
      <c r="F164" s="72">
        <v>0.0</v>
      </c>
      <c r="G164" s="7"/>
      <c r="H164" s="7"/>
      <c r="I164" s="7"/>
      <c r="J164" s="7"/>
      <c r="K164" s="7"/>
      <c r="L164" s="7"/>
      <c r="M164" s="7"/>
      <c r="N164" s="7"/>
      <c r="O164" s="7"/>
      <c r="P164" s="7"/>
      <c r="Q164" s="7"/>
      <c r="R164" s="7"/>
      <c r="S164" s="7"/>
      <c r="T164" s="7"/>
      <c r="U164" s="7"/>
      <c r="V164" s="7"/>
      <c r="W164" s="7"/>
      <c r="X164" s="7"/>
      <c r="Y164" s="7"/>
      <c r="Z164" s="7"/>
    </row>
    <row r="165" ht="45.75" customHeight="1">
      <c r="A165" s="70" t="s">
        <v>136</v>
      </c>
      <c r="B165" s="83" t="s">
        <v>474</v>
      </c>
      <c r="C165" s="84" t="s">
        <v>475</v>
      </c>
      <c r="D165" s="84" t="s">
        <v>476</v>
      </c>
      <c r="E165" s="85"/>
      <c r="F165" s="86">
        <v>0.0</v>
      </c>
      <c r="G165" s="7"/>
      <c r="H165" s="7"/>
      <c r="I165" s="7"/>
      <c r="J165" s="7"/>
      <c r="K165" s="7"/>
      <c r="L165" s="7"/>
      <c r="M165" s="7"/>
      <c r="N165" s="7"/>
      <c r="O165" s="7"/>
      <c r="P165" s="7"/>
      <c r="Q165" s="7"/>
      <c r="R165" s="7"/>
      <c r="S165" s="7"/>
      <c r="T165" s="7"/>
      <c r="U165" s="7"/>
      <c r="V165" s="7"/>
      <c r="W165" s="7"/>
      <c r="X165" s="7"/>
      <c r="Y165" s="7"/>
      <c r="Z165" s="7"/>
    </row>
    <row r="166" ht="1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2">
    <mergeCell ref="C72:F72"/>
    <mergeCell ref="C82:F82"/>
    <mergeCell ref="C60:F60"/>
    <mergeCell ref="C61:F61"/>
    <mergeCell ref="C41:F41"/>
    <mergeCell ref="C42:F42"/>
    <mergeCell ref="C97:F97"/>
    <mergeCell ref="C45:F45"/>
    <mergeCell ref="C37:F37"/>
    <mergeCell ref="C129:F129"/>
    <mergeCell ref="C132:F132"/>
    <mergeCell ref="C131:F131"/>
    <mergeCell ref="C139:F139"/>
    <mergeCell ref="C136:F136"/>
    <mergeCell ref="C119:F119"/>
    <mergeCell ref="C149:F149"/>
    <mergeCell ref="C162:F162"/>
    <mergeCell ref="C156:F156"/>
    <mergeCell ref="C155:F155"/>
    <mergeCell ref="C148:F148"/>
    <mergeCell ref="C153:F153"/>
    <mergeCell ref="C140:F140"/>
    <mergeCell ref="C17:F17"/>
    <mergeCell ref="C14:F14"/>
    <mergeCell ref="A1:B1"/>
    <mergeCell ref="C4:F4"/>
    <mergeCell ref="C3:F3"/>
    <mergeCell ref="E1:F1"/>
    <mergeCell ref="C1:D1"/>
    <mergeCell ref="C27:F27"/>
    <mergeCell ref="C28:F28"/>
    <mergeCell ref="C18:F18"/>
    <mergeCell ref="C21:F21"/>
    <mergeCell ref="C25:F25"/>
    <mergeCell ref="C7:F7"/>
    <mergeCell ref="C8:F8"/>
    <mergeCell ref="C33:F33"/>
    <mergeCell ref="C54:F54"/>
    <mergeCell ref="C52:F52"/>
    <mergeCell ref="C88:F88"/>
    <mergeCell ref="C83:F83"/>
    <mergeCell ref="C65:F65"/>
    <mergeCell ref="C64:F64"/>
    <mergeCell ref="C90:F90"/>
    <mergeCell ref="C92:F92"/>
    <mergeCell ref="C99:F99"/>
    <mergeCell ref="C115:F115"/>
    <mergeCell ref="C104:F104"/>
    <mergeCell ref="C114:F114"/>
    <mergeCell ref="C105:F105"/>
    <mergeCell ref="C109:F109"/>
    <mergeCell ref="C102:F102"/>
  </mergeCells>
  <conditionalFormatting sqref="F1 F3:F165">
    <cfRule type="cellIs" dxfId="1" priority="1" stopIfTrue="1" operator="lessThanOrEqual">
      <formula>0.25</formula>
    </cfRule>
  </conditionalFormatting>
  <conditionalFormatting sqref="F1 F3:F165">
    <cfRule type="cellIs" dxfId="2" priority="2" stopIfTrue="1" operator="between">
      <formula>0.251</formula>
      <formula>0.75</formula>
    </cfRule>
  </conditionalFormatting>
  <conditionalFormatting sqref="F1 F3:F165">
    <cfRule type="cellIs" dxfId="3" priority="3" stopIfTrue="1" operator="greaterThan">
      <formula>0.75</formula>
    </cfRule>
  </conditionalFormatting>
  <printOptions/>
  <pageMargins bottom="0.75" footer="0.0" header="0.0" left="0.25" right="0.25" top="0.75"/>
  <pageSetup orientation="landscape"/>
  <headerFooter>
    <oddHeader>&amp;L4472C4www.halkynconsulting.co.uk&amp;R4472C4Halkyn Consulting Ltd</oddHeader>
    <oddFooter>&amp;L000000Page &amp;P of &amp;R00000011/06/2017</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26" width="5.27"/>
  </cols>
  <sheetData>
    <row r="1" ht="21.0" customHeight="1">
      <c r="A1" s="87" t="s">
        <v>4</v>
      </c>
      <c r="B1" s="88"/>
      <c r="C1" s="88"/>
      <c r="D1" s="88"/>
      <c r="E1" s="88"/>
      <c r="F1" s="7"/>
      <c r="G1" s="7"/>
      <c r="H1" s="7"/>
      <c r="I1" s="7"/>
      <c r="J1" s="7"/>
      <c r="K1" s="7"/>
      <c r="L1" s="7"/>
      <c r="M1" s="7"/>
      <c r="N1" s="7"/>
      <c r="O1" s="7"/>
      <c r="P1" s="7"/>
      <c r="Q1" s="7"/>
      <c r="R1" s="7"/>
      <c r="S1" s="7"/>
      <c r="T1" s="7"/>
      <c r="U1" s="7"/>
      <c r="V1" s="7"/>
      <c r="W1" s="7"/>
      <c r="X1" s="7"/>
      <c r="Y1" s="7"/>
      <c r="Z1" s="7"/>
    </row>
    <row r="2" ht="21.0" customHeight="1">
      <c r="A2" s="89">
        <v>0.0</v>
      </c>
      <c r="B2" s="88"/>
      <c r="C2" s="88"/>
      <c r="D2" s="88"/>
      <c r="E2" s="88"/>
      <c r="F2" s="7"/>
      <c r="G2" s="7"/>
      <c r="H2" s="7"/>
      <c r="I2" s="7"/>
      <c r="J2" s="7"/>
      <c r="K2" s="7"/>
      <c r="L2" s="7"/>
      <c r="M2" s="7"/>
      <c r="N2" s="7"/>
      <c r="O2" s="7"/>
      <c r="P2" s="7"/>
      <c r="Q2" s="7"/>
      <c r="R2" s="7"/>
      <c r="S2" s="7"/>
      <c r="T2" s="7"/>
      <c r="U2" s="7"/>
      <c r="V2" s="7"/>
      <c r="W2" s="7"/>
      <c r="X2" s="7"/>
      <c r="Y2" s="7"/>
      <c r="Z2" s="7"/>
    </row>
    <row r="3" ht="21.0" customHeight="1">
      <c r="A3" s="89">
        <v>0.05</v>
      </c>
      <c r="B3" s="88"/>
      <c r="C3" s="88"/>
      <c r="D3" s="88"/>
      <c r="E3" s="88"/>
      <c r="F3" s="7"/>
      <c r="G3" s="7"/>
      <c r="H3" s="7"/>
      <c r="I3" s="7"/>
      <c r="J3" s="7"/>
      <c r="K3" s="7"/>
      <c r="L3" s="7"/>
      <c r="M3" s="7"/>
      <c r="N3" s="7"/>
      <c r="O3" s="7"/>
      <c r="P3" s="7"/>
      <c r="Q3" s="7"/>
      <c r="R3" s="7"/>
      <c r="S3" s="7"/>
      <c r="T3" s="7"/>
      <c r="U3" s="7"/>
      <c r="V3" s="7"/>
      <c r="W3" s="7"/>
      <c r="X3" s="7"/>
      <c r="Y3" s="7"/>
      <c r="Z3" s="7"/>
    </row>
    <row r="4" ht="21.0" customHeight="1">
      <c r="A4" s="89">
        <v>0.1</v>
      </c>
      <c r="B4" s="88"/>
      <c r="C4" s="88"/>
      <c r="D4" s="88"/>
      <c r="E4" s="88"/>
      <c r="F4" s="7"/>
      <c r="G4" s="7"/>
      <c r="H4" s="7"/>
      <c r="I4" s="7"/>
      <c r="J4" s="7"/>
      <c r="K4" s="7"/>
      <c r="L4" s="7"/>
      <c r="M4" s="7"/>
      <c r="N4" s="7"/>
      <c r="O4" s="7"/>
      <c r="P4" s="7"/>
      <c r="Q4" s="7"/>
      <c r="R4" s="7"/>
      <c r="S4" s="7"/>
      <c r="T4" s="7"/>
      <c r="U4" s="7"/>
      <c r="V4" s="7"/>
      <c r="W4" s="7"/>
      <c r="X4" s="7"/>
      <c r="Y4" s="7"/>
      <c r="Z4" s="7"/>
    </row>
    <row r="5" ht="21.0" customHeight="1">
      <c r="A5" s="89">
        <v>0.15</v>
      </c>
      <c r="B5" s="88"/>
      <c r="C5" s="88"/>
      <c r="D5" s="88"/>
      <c r="E5" s="88"/>
      <c r="F5" s="7"/>
      <c r="G5" s="7"/>
      <c r="H5" s="7"/>
      <c r="I5" s="7"/>
      <c r="J5" s="7"/>
      <c r="K5" s="7"/>
      <c r="L5" s="7"/>
      <c r="M5" s="7"/>
      <c r="N5" s="7"/>
      <c r="O5" s="7"/>
      <c r="P5" s="7"/>
      <c r="Q5" s="7"/>
      <c r="R5" s="7"/>
      <c r="S5" s="7"/>
      <c r="T5" s="7"/>
      <c r="U5" s="7"/>
      <c r="V5" s="7"/>
      <c r="W5" s="7"/>
      <c r="X5" s="7"/>
      <c r="Y5" s="7"/>
      <c r="Z5" s="7"/>
    </row>
    <row r="6" ht="21.0" customHeight="1">
      <c r="A6" s="89">
        <v>0.2</v>
      </c>
      <c r="B6" s="88"/>
      <c r="C6" s="88"/>
      <c r="D6" s="88"/>
      <c r="E6" s="88"/>
      <c r="F6" s="7"/>
      <c r="G6" s="7"/>
      <c r="H6" s="7"/>
      <c r="I6" s="7"/>
      <c r="J6" s="7"/>
      <c r="K6" s="7"/>
      <c r="L6" s="7"/>
      <c r="M6" s="7"/>
      <c r="N6" s="7"/>
      <c r="O6" s="7"/>
      <c r="P6" s="7"/>
      <c r="Q6" s="7"/>
      <c r="R6" s="7"/>
      <c r="S6" s="7"/>
      <c r="T6" s="7"/>
      <c r="U6" s="7"/>
      <c r="V6" s="7"/>
      <c r="W6" s="7"/>
      <c r="X6" s="7"/>
      <c r="Y6" s="7"/>
      <c r="Z6" s="7"/>
    </row>
    <row r="7" ht="21.0" customHeight="1">
      <c r="A7" s="89">
        <v>0.25</v>
      </c>
      <c r="B7" s="88"/>
      <c r="C7" s="88"/>
      <c r="D7" s="88"/>
      <c r="E7" s="88"/>
      <c r="F7" s="7"/>
      <c r="G7" s="7"/>
      <c r="H7" s="7"/>
      <c r="I7" s="7"/>
      <c r="J7" s="7"/>
      <c r="K7" s="7"/>
      <c r="L7" s="7"/>
      <c r="M7" s="7"/>
      <c r="N7" s="7"/>
      <c r="O7" s="7"/>
      <c r="P7" s="7"/>
      <c r="Q7" s="7"/>
      <c r="R7" s="7"/>
      <c r="S7" s="7"/>
      <c r="T7" s="7"/>
      <c r="U7" s="7"/>
      <c r="V7" s="7"/>
      <c r="W7" s="7"/>
      <c r="X7" s="7"/>
      <c r="Y7" s="7"/>
      <c r="Z7" s="7"/>
    </row>
    <row r="8" ht="21.0" customHeight="1">
      <c r="A8" s="89">
        <v>0.3</v>
      </c>
      <c r="B8" s="88"/>
      <c r="C8" s="88"/>
      <c r="D8" s="88"/>
      <c r="E8" s="88"/>
      <c r="F8" s="7"/>
      <c r="G8" s="7"/>
      <c r="H8" s="7"/>
      <c r="I8" s="7"/>
      <c r="J8" s="7"/>
      <c r="K8" s="7"/>
      <c r="L8" s="7"/>
      <c r="M8" s="7"/>
      <c r="N8" s="7"/>
      <c r="O8" s="7"/>
      <c r="P8" s="7"/>
      <c r="Q8" s="7"/>
      <c r="R8" s="7"/>
      <c r="S8" s="7"/>
      <c r="T8" s="7"/>
      <c r="U8" s="7"/>
      <c r="V8" s="7"/>
      <c r="W8" s="7"/>
      <c r="X8" s="7"/>
      <c r="Y8" s="7"/>
      <c r="Z8" s="7"/>
    </row>
    <row r="9" ht="21.0" customHeight="1">
      <c r="A9" s="89">
        <v>0.35</v>
      </c>
      <c r="B9" s="88"/>
      <c r="C9" s="88"/>
      <c r="D9" s="88"/>
      <c r="E9" s="88"/>
      <c r="F9" s="7"/>
      <c r="G9" s="7"/>
      <c r="H9" s="7"/>
      <c r="I9" s="7"/>
      <c r="J9" s="7"/>
      <c r="K9" s="7"/>
      <c r="L9" s="7"/>
      <c r="M9" s="7"/>
      <c r="N9" s="7"/>
      <c r="O9" s="7"/>
      <c r="P9" s="7"/>
      <c r="Q9" s="7"/>
      <c r="R9" s="7"/>
      <c r="S9" s="7"/>
      <c r="T9" s="7"/>
      <c r="U9" s="7"/>
      <c r="V9" s="7"/>
      <c r="W9" s="7"/>
      <c r="X9" s="7"/>
      <c r="Y9" s="7"/>
      <c r="Z9" s="7"/>
    </row>
    <row r="10" ht="21.0" customHeight="1">
      <c r="A10" s="89">
        <v>0.4</v>
      </c>
      <c r="B10" s="88"/>
      <c r="C10" s="88"/>
      <c r="D10" s="88"/>
      <c r="E10" s="88"/>
      <c r="F10" s="7"/>
      <c r="G10" s="7"/>
      <c r="H10" s="7"/>
      <c r="I10" s="7"/>
      <c r="J10" s="7"/>
      <c r="K10" s="7"/>
      <c r="L10" s="7"/>
      <c r="M10" s="7"/>
      <c r="N10" s="7"/>
      <c r="O10" s="7"/>
      <c r="P10" s="7"/>
      <c r="Q10" s="7"/>
      <c r="R10" s="7"/>
      <c r="S10" s="7"/>
      <c r="T10" s="7"/>
      <c r="U10" s="7"/>
      <c r="V10" s="7"/>
      <c r="W10" s="7"/>
      <c r="X10" s="7"/>
      <c r="Y10" s="7"/>
      <c r="Z10" s="7"/>
    </row>
    <row r="11" ht="21.0" customHeight="1">
      <c r="A11" s="89">
        <v>0.45</v>
      </c>
      <c r="B11" s="88"/>
      <c r="C11" s="88"/>
      <c r="D11" s="88"/>
      <c r="E11" s="88"/>
      <c r="F11" s="7"/>
      <c r="G11" s="7"/>
      <c r="H11" s="7"/>
      <c r="I11" s="7"/>
      <c r="J11" s="7"/>
      <c r="K11" s="7"/>
      <c r="L11" s="7"/>
      <c r="M11" s="7"/>
      <c r="N11" s="7"/>
      <c r="O11" s="7"/>
      <c r="P11" s="7"/>
      <c r="Q11" s="7"/>
      <c r="R11" s="7"/>
      <c r="S11" s="7"/>
      <c r="T11" s="7"/>
      <c r="U11" s="7"/>
      <c r="V11" s="7"/>
      <c r="W11" s="7"/>
      <c r="X11" s="7"/>
      <c r="Y11" s="7"/>
      <c r="Z11" s="7"/>
    </row>
    <row r="12" ht="21.0" customHeight="1">
      <c r="A12" s="89">
        <v>0.5</v>
      </c>
      <c r="B12" s="88"/>
      <c r="C12" s="88"/>
      <c r="D12" s="88"/>
      <c r="E12" s="88"/>
      <c r="F12" s="7"/>
      <c r="G12" s="7"/>
      <c r="H12" s="7"/>
      <c r="I12" s="7"/>
      <c r="J12" s="7"/>
      <c r="K12" s="7"/>
      <c r="L12" s="7"/>
      <c r="M12" s="7"/>
      <c r="N12" s="7"/>
      <c r="O12" s="7"/>
      <c r="P12" s="7"/>
      <c r="Q12" s="7"/>
      <c r="R12" s="7"/>
      <c r="S12" s="7"/>
      <c r="T12" s="7"/>
      <c r="U12" s="7"/>
      <c r="V12" s="7"/>
      <c r="W12" s="7"/>
      <c r="X12" s="7"/>
      <c r="Y12" s="7"/>
      <c r="Z12" s="7"/>
    </row>
    <row r="13" ht="21.0" customHeight="1">
      <c r="A13" s="89">
        <v>0.55</v>
      </c>
      <c r="B13" s="88"/>
      <c r="C13" s="88"/>
      <c r="D13" s="88"/>
      <c r="E13" s="88"/>
      <c r="F13" s="7"/>
      <c r="G13" s="7"/>
      <c r="H13" s="7"/>
      <c r="I13" s="7"/>
      <c r="J13" s="7"/>
      <c r="K13" s="7"/>
      <c r="L13" s="7"/>
      <c r="M13" s="7"/>
      <c r="N13" s="7"/>
      <c r="O13" s="7"/>
      <c r="P13" s="7"/>
      <c r="Q13" s="7"/>
      <c r="R13" s="7"/>
      <c r="S13" s="7"/>
      <c r="T13" s="7"/>
      <c r="U13" s="7"/>
      <c r="V13" s="7"/>
      <c r="W13" s="7"/>
      <c r="X13" s="7"/>
      <c r="Y13" s="7"/>
      <c r="Z13" s="7"/>
    </row>
    <row r="14" ht="21.0" customHeight="1">
      <c r="A14" s="89">
        <v>0.6</v>
      </c>
      <c r="B14" s="88"/>
      <c r="C14" s="88"/>
      <c r="D14" s="88"/>
      <c r="E14" s="88"/>
      <c r="F14" s="7"/>
      <c r="G14" s="7"/>
      <c r="H14" s="7"/>
      <c r="I14" s="7"/>
      <c r="J14" s="7"/>
      <c r="K14" s="7"/>
      <c r="L14" s="7"/>
      <c r="M14" s="7"/>
      <c r="N14" s="7"/>
      <c r="O14" s="7"/>
      <c r="P14" s="7"/>
      <c r="Q14" s="7"/>
      <c r="R14" s="7"/>
      <c r="S14" s="7"/>
      <c r="T14" s="7"/>
      <c r="U14" s="7"/>
      <c r="V14" s="7"/>
      <c r="W14" s="7"/>
      <c r="X14" s="7"/>
      <c r="Y14" s="7"/>
      <c r="Z14" s="7"/>
    </row>
    <row r="15" ht="21.0" customHeight="1">
      <c r="A15" s="89">
        <v>0.65</v>
      </c>
      <c r="B15" s="88"/>
      <c r="C15" s="88"/>
      <c r="D15" s="88"/>
      <c r="E15" s="88"/>
      <c r="F15" s="7"/>
      <c r="G15" s="7"/>
      <c r="H15" s="7"/>
      <c r="I15" s="7"/>
      <c r="J15" s="7"/>
      <c r="K15" s="7"/>
      <c r="L15" s="7"/>
      <c r="M15" s="7"/>
      <c r="N15" s="7"/>
      <c r="O15" s="7"/>
      <c r="P15" s="7"/>
      <c r="Q15" s="7"/>
      <c r="R15" s="7"/>
      <c r="S15" s="7"/>
      <c r="T15" s="7"/>
      <c r="U15" s="7"/>
      <c r="V15" s="7"/>
      <c r="W15" s="7"/>
      <c r="X15" s="7"/>
      <c r="Y15" s="7"/>
      <c r="Z15" s="7"/>
    </row>
    <row r="16" ht="21.0" customHeight="1">
      <c r="A16" s="89">
        <v>0.7</v>
      </c>
      <c r="B16" s="88"/>
      <c r="C16" s="88"/>
      <c r="D16" s="88"/>
      <c r="E16" s="88"/>
      <c r="F16" s="7"/>
      <c r="G16" s="7"/>
      <c r="H16" s="7"/>
      <c r="I16" s="7"/>
      <c r="J16" s="7"/>
      <c r="K16" s="7"/>
      <c r="L16" s="7"/>
      <c r="M16" s="7"/>
      <c r="N16" s="7"/>
      <c r="O16" s="7"/>
      <c r="P16" s="7"/>
      <c r="Q16" s="7"/>
      <c r="R16" s="7"/>
      <c r="S16" s="7"/>
      <c r="T16" s="7"/>
      <c r="U16" s="7"/>
      <c r="V16" s="7"/>
      <c r="W16" s="7"/>
      <c r="X16" s="7"/>
      <c r="Y16" s="7"/>
      <c r="Z16" s="7"/>
    </row>
    <row r="17" ht="21.0" customHeight="1">
      <c r="A17" s="89">
        <v>0.75</v>
      </c>
      <c r="B17" s="88"/>
      <c r="C17" s="88"/>
      <c r="D17" s="88"/>
      <c r="E17" s="88"/>
      <c r="F17" s="7"/>
      <c r="G17" s="7"/>
      <c r="H17" s="7"/>
      <c r="I17" s="7"/>
      <c r="J17" s="7"/>
      <c r="K17" s="7"/>
      <c r="L17" s="7"/>
      <c r="M17" s="7"/>
      <c r="N17" s="7"/>
      <c r="O17" s="7"/>
      <c r="P17" s="7"/>
      <c r="Q17" s="7"/>
      <c r="R17" s="7"/>
      <c r="S17" s="7"/>
      <c r="T17" s="7"/>
      <c r="U17" s="7"/>
      <c r="V17" s="7"/>
      <c r="W17" s="7"/>
      <c r="X17" s="7"/>
      <c r="Y17" s="7"/>
      <c r="Z17" s="7"/>
    </row>
    <row r="18" ht="21.0" customHeight="1">
      <c r="A18" s="89">
        <v>0.8</v>
      </c>
      <c r="B18" s="88"/>
      <c r="C18" s="88"/>
      <c r="D18" s="88"/>
      <c r="E18" s="88"/>
      <c r="F18" s="7"/>
      <c r="G18" s="7"/>
      <c r="H18" s="7"/>
      <c r="I18" s="7"/>
      <c r="J18" s="7"/>
      <c r="K18" s="7"/>
      <c r="L18" s="7"/>
      <c r="M18" s="7"/>
      <c r="N18" s="7"/>
      <c r="O18" s="7"/>
      <c r="P18" s="7"/>
      <c r="Q18" s="7"/>
      <c r="R18" s="7"/>
      <c r="S18" s="7"/>
      <c r="T18" s="7"/>
      <c r="U18" s="7"/>
      <c r="V18" s="7"/>
      <c r="W18" s="7"/>
      <c r="X18" s="7"/>
      <c r="Y18" s="7"/>
      <c r="Z18" s="7"/>
    </row>
    <row r="19" ht="21.0" customHeight="1">
      <c r="A19" s="89">
        <v>0.85</v>
      </c>
      <c r="B19" s="88"/>
      <c r="C19" s="88"/>
      <c r="D19" s="88"/>
      <c r="E19" s="88"/>
      <c r="F19" s="7"/>
      <c r="G19" s="7"/>
      <c r="H19" s="7"/>
      <c r="I19" s="7"/>
      <c r="J19" s="7"/>
      <c r="K19" s="7"/>
      <c r="L19" s="7"/>
      <c r="M19" s="7"/>
      <c r="N19" s="7"/>
      <c r="O19" s="7"/>
      <c r="P19" s="7"/>
      <c r="Q19" s="7"/>
      <c r="R19" s="7"/>
      <c r="S19" s="7"/>
      <c r="T19" s="7"/>
      <c r="U19" s="7"/>
      <c r="V19" s="7"/>
      <c r="W19" s="7"/>
      <c r="X19" s="7"/>
      <c r="Y19" s="7"/>
      <c r="Z19" s="7"/>
    </row>
    <row r="20" ht="21.0" customHeight="1">
      <c r="A20" s="89">
        <v>0.9</v>
      </c>
      <c r="B20" s="88"/>
      <c r="C20" s="88"/>
      <c r="D20" s="88"/>
      <c r="E20" s="88"/>
      <c r="F20" s="7"/>
      <c r="G20" s="7"/>
      <c r="H20" s="7"/>
      <c r="I20" s="7"/>
      <c r="J20" s="7"/>
      <c r="K20" s="7"/>
      <c r="L20" s="7"/>
      <c r="M20" s="7"/>
      <c r="N20" s="7"/>
      <c r="O20" s="7"/>
      <c r="P20" s="7"/>
      <c r="Q20" s="7"/>
      <c r="R20" s="7"/>
      <c r="S20" s="7"/>
      <c r="T20" s="7"/>
      <c r="U20" s="7"/>
      <c r="V20" s="7"/>
      <c r="W20" s="7"/>
      <c r="X20" s="7"/>
      <c r="Y20" s="7"/>
      <c r="Z20" s="7"/>
    </row>
    <row r="21" ht="21.0" customHeight="1">
      <c r="A21" s="89">
        <v>0.95</v>
      </c>
      <c r="B21" s="88"/>
      <c r="C21" s="88"/>
      <c r="D21" s="88"/>
      <c r="E21" s="88"/>
      <c r="F21" s="7"/>
      <c r="G21" s="7"/>
      <c r="H21" s="7"/>
      <c r="I21" s="7"/>
      <c r="J21" s="7"/>
      <c r="K21" s="7"/>
      <c r="L21" s="7"/>
      <c r="M21" s="7"/>
      <c r="N21" s="7"/>
      <c r="O21" s="7"/>
      <c r="P21" s="7"/>
      <c r="Q21" s="7"/>
      <c r="R21" s="7"/>
      <c r="S21" s="7"/>
      <c r="T21" s="7"/>
      <c r="U21" s="7"/>
      <c r="V21" s="7"/>
      <c r="W21" s="7"/>
      <c r="X21" s="7"/>
      <c r="Y21" s="7"/>
      <c r="Z21" s="7"/>
    </row>
    <row r="22" ht="21.0" customHeight="1">
      <c r="A22" s="89">
        <v>1.0</v>
      </c>
      <c r="B22" s="88"/>
      <c r="C22" s="88"/>
      <c r="D22" s="88"/>
      <c r="E22" s="88"/>
      <c r="F22" s="7"/>
      <c r="G22" s="7"/>
      <c r="H22" s="7"/>
      <c r="I22" s="7"/>
      <c r="J22" s="7"/>
      <c r="K22" s="7"/>
      <c r="L22" s="7"/>
      <c r="M22" s="7"/>
      <c r="N22" s="7"/>
      <c r="O22" s="7"/>
      <c r="P22" s="7"/>
      <c r="Q22" s="7"/>
      <c r="R22" s="7"/>
      <c r="S22" s="7"/>
      <c r="T22" s="7"/>
      <c r="U22" s="7"/>
      <c r="V22" s="7"/>
      <c r="W22" s="7"/>
      <c r="X22" s="7"/>
      <c r="Y22" s="7"/>
      <c r="Z22" s="7"/>
    </row>
    <row r="23" ht="19.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9.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9.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9.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9.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9.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9.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9.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9.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9.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9.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9.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9.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9.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9.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9.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9.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9.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9.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9.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9.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9.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9.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9.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9.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9.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9.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9.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9.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9.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9.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9.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9.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9.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9.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9.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9.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9.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9.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9.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9.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9.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9.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9.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9.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9.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9.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9.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9.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9.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9.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9.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9.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9.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9.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9.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9.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9.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9.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9.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9.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9.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9.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9.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9.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9.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9.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9.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9.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9.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9.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9.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9.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9.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9.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9.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9.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9.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9.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9.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9.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9.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9.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9.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9.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9.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9.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9.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9.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9.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9.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9.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9.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9.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9.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9.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9.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9.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9.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9.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9.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9.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9.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9.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9.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9.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9.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9.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9.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9.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9.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9.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9.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9.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9.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9.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9.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9.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9.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9.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9.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9.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9.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9.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9.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9.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9.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9.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9.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9.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9.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9.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9.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9.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9.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9.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9.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9.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9.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9.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9.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9.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9.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portrait"/>
  <headerFooter>
    <oddFooter>&amp;C000000&amp;P</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E6BFE12FD08B4C85B106152AEF49BF" ma:contentTypeVersion="12" ma:contentTypeDescription="Crée un document." ma:contentTypeScope="" ma:versionID="b2cb1aa111d794e71c5d1b2f0bd8d471">
  <xsd:schema xmlns:xsd="http://www.w3.org/2001/XMLSchema" xmlns:xs="http://www.w3.org/2001/XMLSchema" xmlns:p="http://schemas.microsoft.com/office/2006/metadata/properties" xmlns:ns2="c0a74579-1ff6-454b-b68e-016d470e918d" xmlns:ns3="7901e898-d06c-4018-a204-1fc48681b132" targetNamespace="http://schemas.microsoft.com/office/2006/metadata/properties" ma:root="true" ma:fieldsID="2a20fe5e905d7a8d3a9c6c468fc08e1f" ns2:_="" ns3:_="">
    <xsd:import namespace="c0a74579-1ff6-454b-b68e-016d470e918d"/>
    <xsd:import namespace="7901e898-d06c-4018-a204-1fc48681b1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74579-1ff6-454b-b68e-016d470e91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7664016-f4d0-4920-9d3c-774f4546349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01e898-d06c-4018-a204-1fc48681b1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93bd17-476c-472b-b36a-fb60507492af}" ma:internalName="TaxCatchAll" ma:showField="CatchAllData" ma:web="7901e898-d06c-4018-a204-1fc48681b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901e898-d06c-4018-a204-1fc48681b132" xsi:nil="true"/>
    <lcf76f155ced4ddcb4097134ff3c332f xmlns="c0a74579-1ff6-454b-b68e-016d470e918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6F30C2-8312-4EDA-BE59-B4ABD360AF9B}"/>
</file>

<file path=customXml/itemProps2.xml><?xml version="1.0" encoding="utf-8"?>
<ds:datastoreItem xmlns:ds="http://schemas.openxmlformats.org/officeDocument/2006/customXml" ds:itemID="{2DFF44B8-578A-496E-B44D-268FD0D6662C}"/>
</file>

<file path=customXml/itemProps3.xml><?xml version="1.0" encoding="utf-8"?>
<ds:datastoreItem xmlns:ds="http://schemas.openxmlformats.org/officeDocument/2006/customXml" ds:itemID="{C1A93F1C-5643-4F8E-A217-B2EB858D8214}"/>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0x01010003E6BFE12FD08B4C85B106152AEF49BF</vt:lpwstr>
  </property>
</Properties>
</file>